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daga\BenchmarkResults\"/>
    </mc:Choice>
  </mc:AlternateContent>
  <xr:revisionPtr revIDLastSave="0" documentId="13_ncr:1_{DC44080D-9099-43DD-8F1D-57BB0FDA4EAF}" xr6:coauthVersionLast="47" xr6:coauthVersionMax="47" xr10:uidLastSave="{00000000-0000-0000-0000-000000000000}"/>
  <bookViews>
    <workbookView xWindow="4992" yWindow="4668" windowWidth="28488" windowHeight="17832" xr2:uid="{409C604E-F871-4410-8A13-2ED79966BDD5}"/>
  </bookViews>
  <sheets>
    <sheet name="IntSort" sheetId="11" r:id="rId1"/>
  </sheets>
  <definedNames>
    <definedName name="ExternalData_1" localSheetId="0" hidden="1">IntSort!$A$1:$D$112</definedName>
  </definedNames>
  <calcPr calcId="191029" refMode="R1C1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/>
  <c r="K5" i="11"/>
  <c r="K6" i="11"/>
  <c r="K7" i="11"/>
  <c r="K8" i="11"/>
  <c r="K9" i="11"/>
  <c r="K10" i="11"/>
  <c r="K11" i="11"/>
  <c r="K12" i="11"/>
  <c r="M12" i="11" s="1"/>
  <c r="K13" i="11"/>
  <c r="M13" i="11" s="1"/>
  <c r="K14" i="11"/>
  <c r="M14" i="11" s="1"/>
  <c r="K15" i="11"/>
  <c r="M15" i="11" s="1"/>
  <c r="K16" i="11"/>
  <c r="M16" i="11" s="1"/>
  <c r="K17" i="11"/>
  <c r="M17" i="11" s="1"/>
  <c r="K18" i="11"/>
  <c r="M18" i="11" s="1"/>
  <c r="K19" i="11"/>
  <c r="M19" i="11" s="1"/>
  <c r="K20" i="11"/>
  <c r="M20" i="11" s="1"/>
  <c r="K21" i="11"/>
  <c r="M21" i="11" s="1"/>
  <c r="K22" i="11"/>
  <c r="M22" i="11" s="1"/>
  <c r="K23" i="11"/>
  <c r="M23" i="11" s="1"/>
  <c r="K24" i="11"/>
  <c r="K25" i="11"/>
  <c r="K26" i="11"/>
  <c r="K27" i="11"/>
  <c r="K28" i="11"/>
  <c r="K29" i="11"/>
  <c r="K30" i="11"/>
  <c r="K31" i="11"/>
  <c r="M31" i="11" s="1"/>
  <c r="K32" i="11"/>
  <c r="M32" i="11" s="1"/>
  <c r="K33" i="11"/>
  <c r="M33" i="11" s="1"/>
  <c r="K34" i="11"/>
  <c r="M34" i="11" s="1"/>
  <c r="K35" i="11"/>
  <c r="M35" i="11" s="1"/>
  <c r="K36" i="11"/>
  <c r="M36" i="11" s="1"/>
  <c r="K37" i="11"/>
  <c r="M37" i="11" s="1"/>
  <c r="K38" i="11"/>
  <c r="M38" i="11" s="1"/>
  <c r="K39" i="11"/>
  <c r="M39" i="11" s="1"/>
  <c r="L4" i="11"/>
  <c r="L5" i="11"/>
  <c r="M5" i="11" s="1"/>
  <c r="L6" i="11"/>
  <c r="M6" i="11" s="1"/>
  <c r="L7" i="11"/>
  <c r="M7" i="11" s="1"/>
  <c r="L8" i="11"/>
  <c r="M8" i="11" s="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M25" i="11" s="1"/>
  <c r="L26" i="11"/>
  <c r="M26" i="11" s="1"/>
  <c r="L27" i="11"/>
  <c r="M27" i="11" s="1"/>
  <c r="L28" i="11"/>
  <c r="M28" i="11" s="1"/>
  <c r="L29" i="11"/>
  <c r="L30" i="11"/>
  <c r="L31" i="11"/>
  <c r="L32" i="11"/>
  <c r="L33" i="11"/>
  <c r="L34" i="11"/>
  <c r="L35" i="11"/>
  <c r="L36" i="11"/>
  <c r="L37" i="11"/>
  <c r="L38" i="11"/>
  <c r="L39" i="11"/>
  <c r="M9" i="11"/>
  <c r="M10" i="11"/>
  <c r="M11" i="11"/>
  <c r="M29" i="11"/>
  <c r="M30" i="11"/>
  <c r="L3" i="11"/>
  <c r="M3" i="11" s="1"/>
  <c r="K3" i="11"/>
  <c r="M24" i="11" l="1"/>
  <c r="M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EF0C1-E18F-4E22-AB18-CBFD3AC4CA4D}" keepAlive="1" name="Query - Podaga Benchmark IntSortBenchmark-report-brief" description="Connection to the 'Podaga Benchmark IntSortBenchmark-report-brief' query in the workbook." type="5" refreshedVersion="8" background="1" saveData="1">
    <dbPr connection="Provider=Microsoft.Mashup.OleDb.1;Data Source=$Workbook$;Location=&quot;Podaga Benchmark IntSortBenchmark-report-brief&quot;;Extended Properties=&quot;&quot;" command="SELECT * FROM [Podaga Benchmark IntSortBenchmark-report-brief]"/>
  </connection>
</connections>
</file>

<file path=xl/sharedStrings.xml><?xml version="1.0" encoding="utf-8"?>
<sst xmlns="http://schemas.openxmlformats.org/spreadsheetml/2006/main" count="123" uniqueCount="12">
  <si>
    <t>ArraySort</t>
  </si>
  <si>
    <t>NetworkSort</t>
  </si>
  <si>
    <t>AdditiveBaseline</t>
  </si>
  <si>
    <t>Method</t>
  </si>
  <si>
    <t>Parameters</t>
  </si>
  <si>
    <t>Mean</t>
  </si>
  <si>
    <t>StandardError</t>
  </si>
  <si>
    <t>Sum of Mean</t>
  </si>
  <si>
    <t>A.Mean</t>
  </si>
  <si>
    <t>N.Mean</t>
  </si>
  <si>
    <t>Size</t>
  </si>
  <si>
    <t>MeanRatio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</si>
</sst>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IntSort!$K$2</c:f>
              <c:strCache>
                <c:ptCount val="1"/>
                <c:pt idx="0">
                  <c:v>A.Mean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IntSort!$J$3:$J$39</c:f>
              <c:numCache>
                <c:formatCode>General</c:formatCode>
                <c:ptCount val="3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13</c:v>
                </c:pt>
                <c:pt idx="4">
                  <c:v>16</c:v>
                </c:pt>
                <c:pt idx="5">
                  <c:v>27</c:v>
                </c:pt>
                <c:pt idx="6">
                  <c:v>32</c:v>
                </c:pt>
                <c:pt idx="7">
                  <c:v>47</c:v>
                </c:pt>
                <c:pt idx="8">
                  <c:v>64</c:v>
                </c:pt>
                <c:pt idx="9">
                  <c:v>101</c:v>
                </c:pt>
                <c:pt idx="10">
                  <c:v>128</c:v>
                </c:pt>
                <c:pt idx="11">
                  <c:v>177</c:v>
                </c:pt>
                <c:pt idx="12">
                  <c:v>256</c:v>
                </c:pt>
                <c:pt idx="13">
                  <c:v>365</c:v>
                </c:pt>
                <c:pt idx="14">
                  <c:v>512</c:v>
                </c:pt>
                <c:pt idx="15">
                  <c:v>748</c:v>
                </c:pt>
                <c:pt idx="16">
                  <c:v>1024</c:v>
                </c:pt>
                <c:pt idx="17">
                  <c:v>1537</c:v>
                </c:pt>
                <c:pt idx="18">
                  <c:v>2048</c:v>
                </c:pt>
                <c:pt idx="19">
                  <c:v>3389</c:v>
                </c:pt>
                <c:pt idx="20">
                  <c:v>4096</c:v>
                </c:pt>
                <c:pt idx="21">
                  <c:v>6793</c:v>
                </c:pt>
                <c:pt idx="22">
                  <c:v>8192</c:v>
                </c:pt>
                <c:pt idx="23">
                  <c:v>14289</c:v>
                </c:pt>
                <c:pt idx="24">
                  <c:v>16384</c:v>
                </c:pt>
                <c:pt idx="25">
                  <c:v>23124</c:v>
                </c:pt>
                <c:pt idx="26">
                  <c:v>32768</c:v>
                </c:pt>
                <c:pt idx="27">
                  <c:v>53151</c:v>
                </c:pt>
                <c:pt idx="28">
                  <c:v>65536</c:v>
                </c:pt>
                <c:pt idx="29">
                  <c:v>96317</c:v>
                </c:pt>
                <c:pt idx="30">
                  <c:v>131072</c:v>
                </c:pt>
                <c:pt idx="31">
                  <c:v>191217</c:v>
                </c:pt>
                <c:pt idx="32">
                  <c:v>262144</c:v>
                </c:pt>
                <c:pt idx="33">
                  <c:v>398853</c:v>
                </c:pt>
                <c:pt idx="34">
                  <c:v>524288</c:v>
                </c:pt>
                <c:pt idx="35">
                  <c:v>719289</c:v>
                </c:pt>
                <c:pt idx="36">
                  <c:v>1048576</c:v>
                </c:pt>
              </c:numCache>
            </c:numRef>
          </c:cat>
          <c:val>
            <c:numRef>
              <c:f>IntSort!$K$3:$K$39</c:f>
              <c:numCache>
                <c:formatCode>General</c:formatCode>
                <c:ptCount val="37"/>
                <c:pt idx="0">
                  <c:v>6.4988374089201288</c:v>
                </c:pt>
                <c:pt idx="1">
                  <c:v>10.231064362007947</c:v>
                </c:pt>
                <c:pt idx="2">
                  <c:v>14.897828673322996</c:v>
                </c:pt>
                <c:pt idx="3">
                  <c:v>31.618455424904823</c:v>
                </c:pt>
                <c:pt idx="4">
                  <c:v>46.977758304703798</c:v>
                </c:pt>
                <c:pt idx="5">
                  <c:v>72.474422181646034</c:v>
                </c:pt>
                <c:pt idx="6">
                  <c:v>105.194908156991</c:v>
                </c:pt>
                <c:pt idx="7">
                  <c:v>149.32496229807538</c:v>
                </c:pt>
                <c:pt idx="8">
                  <c:v>235.97957792381445</c:v>
                </c:pt>
                <c:pt idx="9">
                  <c:v>374.54064594847813</c:v>
                </c:pt>
                <c:pt idx="10">
                  <c:v>531.11120764261636</c:v>
                </c:pt>
                <c:pt idx="11">
                  <c:v>761.78289468089736</c:v>
                </c:pt>
                <c:pt idx="12">
                  <c:v>1239.5198803146679</c:v>
                </c:pt>
                <c:pt idx="13">
                  <c:v>1525.5116965870063</c:v>
                </c:pt>
                <c:pt idx="14">
                  <c:v>2454.3951308727264</c:v>
                </c:pt>
                <c:pt idx="15">
                  <c:v>4047.6324653625488</c:v>
                </c:pt>
                <c:pt idx="16">
                  <c:v>6207.0313419898348</c:v>
                </c:pt>
                <c:pt idx="17">
                  <c:v>9699.3660502206712</c:v>
                </c:pt>
                <c:pt idx="18">
                  <c:v>24307.031049728394</c:v>
                </c:pt>
                <c:pt idx="19">
                  <c:v>72779.726709555354</c:v>
                </c:pt>
                <c:pt idx="20">
                  <c:v>111825.98142174575</c:v>
                </c:pt>
                <c:pt idx="21">
                  <c:v>212253.42525995694</c:v>
                </c:pt>
                <c:pt idx="22">
                  <c:v>262745.31552541826</c:v>
                </c:pt>
                <c:pt idx="23">
                  <c:v>494727.8150049845</c:v>
                </c:pt>
                <c:pt idx="24">
                  <c:v>580974.34103647864</c:v>
                </c:pt>
                <c:pt idx="25">
                  <c:v>849334.51278686523</c:v>
                </c:pt>
                <c:pt idx="26">
                  <c:v>1299554.57724435</c:v>
                </c:pt>
                <c:pt idx="27">
                  <c:v>2263714.4580841064</c:v>
                </c:pt>
                <c:pt idx="28">
                  <c:v>2741692.7519734697</c:v>
                </c:pt>
                <c:pt idx="29">
                  <c:v>4071521.8432617188</c:v>
                </c:pt>
                <c:pt idx="30">
                  <c:v>5795675.85117885</c:v>
                </c:pt>
                <c:pt idx="31">
                  <c:v>8924578.0022723861</c:v>
                </c:pt>
                <c:pt idx="32">
                  <c:v>12455252.218656994</c:v>
                </c:pt>
                <c:pt idx="33">
                  <c:v>19714545.821940105</c:v>
                </c:pt>
                <c:pt idx="34">
                  <c:v>26245135.677897137</c:v>
                </c:pt>
                <c:pt idx="35">
                  <c:v>37049992.467181213</c:v>
                </c:pt>
                <c:pt idx="36">
                  <c:v>55807386.667709999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6-4D66-A974-3BF9207A169F}"/>
            </c:ext>
          </c:extLst>
        </c:ser>
        <c:ser>
          <c:idx val="2"/>
          <c:order val="1"/>
          <c:tx>
            <c:strRef>
              <c:f>IntSort!$L$2</c:f>
              <c:strCache>
                <c:ptCount val="1"/>
                <c:pt idx="0">
                  <c:v>N.Mean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IntSort!$J$3:$J$39</c:f>
              <c:numCache>
                <c:formatCode>General</c:formatCode>
                <c:ptCount val="3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13</c:v>
                </c:pt>
                <c:pt idx="4">
                  <c:v>16</c:v>
                </c:pt>
                <c:pt idx="5">
                  <c:v>27</c:v>
                </c:pt>
                <c:pt idx="6">
                  <c:v>32</c:v>
                </c:pt>
                <c:pt idx="7">
                  <c:v>47</c:v>
                </c:pt>
                <c:pt idx="8">
                  <c:v>64</c:v>
                </c:pt>
                <c:pt idx="9">
                  <c:v>101</c:v>
                </c:pt>
                <c:pt idx="10">
                  <c:v>128</c:v>
                </c:pt>
                <c:pt idx="11">
                  <c:v>177</c:v>
                </c:pt>
                <c:pt idx="12">
                  <c:v>256</c:v>
                </c:pt>
                <c:pt idx="13">
                  <c:v>365</c:v>
                </c:pt>
                <c:pt idx="14">
                  <c:v>512</c:v>
                </c:pt>
                <c:pt idx="15">
                  <c:v>748</c:v>
                </c:pt>
                <c:pt idx="16">
                  <c:v>1024</c:v>
                </c:pt>
                <c:pt idx="17">
                  <c:v>1537</c:v>
                </c:pt>
                <c:pt idx="18">
                  <c:v>2048</c:v>
                </c:pt>
                <c:pt idx="19">
                  <c:v>3389</c:v>
                </c:pt>
                <c:pt idx="20">
                  <c:v>4096</c:v>
                </c:pt>
                <c:pt idx="21">
                  <c:v>6793</c:v>
                </c:pt>
                <c:pt idx="22">
                  <c:v>8192</c:v>
                </c:pt>
                <c:pt idx="23">
                  <c:v>14289</c:v>
                </c:pt>
                <c:pt idx="24">
                  <c:v>16384</c:v>
                </c:pt>
                <c:pt idx="25">
                  <c:v>23124</c:v>
                </c:pt>
                <c:pt idx="26">
                  <c:v>32768</c:v>
                </c:pt>
                <c:pt idx="27">
                  <c:v>53151</c:v>
                </c:pt>
                <c:pt idx="28">
                  <c:v>65536</c:v>
                </c:pt>
                <c:pt idx="29">
                  <c:v>96317</c:v>
                </c:pt>
                <c:pt idx="30">
                  <c:v>131072</c:v>
                </c:pt>
                <c:pt idx="31">
                  <c:v>191217</c:v>
                </c:pt>
                <c:pt idx="32">
                  <c:v>262144</c:v>
                </c:pt>
                <c:pt idx="33">
                  <c:v>398853</c:v>
                </c:pt>
                <c:pt idx="34">
                  <c:v>524288</c:v>
                </c:pt>
                <c:pt idx="35">
                  <c:v>719289</c:v>
                </c:pt>
                <c:pt idx="36">
                  <c:v>1048576</c:v>
                </c:pt>
              </c:numCache>
            </c:numRef>
          </c:cat>
          <c:val>
            <c:numRef>
              <c:f>IntSort!$L$3:$L$39</c:f>
              <c:numCache>
                <c:formatCode>General</c:formatCode>
                <c:ptCount val="37"/>
                <c:pt idx="0">
                  <c:v>16.813532647987206</c:v>
                </c:pt>
                <c:pt idx="1">
                  <c:v>16.995951365679502</c:v>
                </c:pt>
                <c:pt idx="2">
                  <c:v>16.709255849321682</c:v>
                </c:pt>
                <c:pt idx="3">
                  <c:v>27.308538928627968</c:v>
                </c:pt>
                <c:pt idx="4">
                  <c:v>27.187228128314018</c:v>
                </c:pt>
                <c:pt idx="5">
                  <c:v>101.52404837310314</c:v>
                </c:pt>
                <c:pt idx="6">
                  <c:v>80.463409995039299</c:v>
                </c:pt>
                <c:pt idx="7">
                  <c:v>142.80868745985487</c:v>
                </c:pt>
                <c:pt idx="8">
                  <c:v>152.07685810824233</c:v>
                </c:pt>
                <c:pt idx="9">
                  <c:v>309.14007526068457</c:v>
                </c:pt>
                <c:pt idx="10">
                  <c:v>335.4063533131893</c:v>
                </c:pt>
                <c:pt idx="11">
                  <c:v>560.16643987525072</c:v>
                </c:pt>
                <c:pt idx="12">
                  <c:v>789.81667011976242</c:v>
                </c:pt>
                <c:pt idx="13">
                  <c:v>1323.7787813444932</c:v>
                </c:pt>
                <c:pt idx="14">
                  <c:v>1942.3084660371146</c:v>
                </c:pt>
                <c:pt idx="15">
                  <c:v>3042.5200771150135</c:v>
                </c:pt>
                <c:pt idx="16">
                  <c:v>4483.9026798804598</c:v>
                </c:pt>
                <c:pt idx="17">
                  <c:v>7209.0239191055298</c:v>
                </c:pt>
                <c:pt idx="18">
                  <c:v>10359.033613204956</c:v>
                </c:pt>
                <c:pt idx="19">
                  <c:v>18384.038436443378</c:v>
                </c:pt>
                <c:pt idx="20">
                  <c:v>23660.137617417746</c:v>
                </c:pt>
                <c:pt idx="21">
                  <c:v>41051.677619982984</c:v>
                </c:pt>
                <c:pt idx="22">
                  <c:v>54571.233802697592</c:v>
                </c:pt>
                <c:pt idx="23">
                  <c:v>87329.299379984528</c:v>
                </c:pt>
                <c:pt idx="24">
                  <c:v>109297.0662852696</c:v>
                </c:pt>
                <c:pt idx="25">
                  <c:v>206567.12020874023</c:v>
                </c:pt>
                <c:pt idx="26">
                  <c:v>325919.67071533203</c:v>
                </c:pt>
                <c:pt idx="27">
                  <c:v>561559.87149556482</c:v>
                </c:pt>
                <c:pt idx="28">
                  <c:v>725018.59181721997</c:v>
                </c:pt>
                <c:pt idx="29">
                  <c:v>1096142.2469075522</c:v>
                </c:pt>
                <c:pt idx="30">
                  <c:v>1619871.2325032551</c:v>
                </c:pt>
                <c:pt idx="31">
                  <c:v>2942298.1064390521</c:v>
                </c:pt>
                <c:pt idx="32">
                  <c:v>3627450.9137119395</c:v>
                </c:pt>
                <c:pt idx="33">
                  <c:v>11671841.030273438</c:v>
                </c:pt>
                <c:pt idx="34">
                  <c:v>20251898.61771195</c:v>
                </c:pt>
                <c:pt idx="35">
                  <c:v>28908167.523936469</c:v>
                </c:pt>
                <c:pt idx="36">
                  <c:v>48995359.887664653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26-4D66-A974-3BF9207A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114159"/>
        <c:axId val="2061120879"/>
      </c:lineChart>
      <c:lineChart>
        <c:grouping val="standard"/>
        <c:varyColors val="0"/>
        <c:ser>
          <c:idx val="3"/>
          <c:order val="2"/>
          <c:tx>
            <c:strRef>
              <c:f>IntSort!$M$2</c:f>
              <c:strCache>
                <c:ptCount val="1"/>
                <c:pt idx="0">
                  <c:v>MeanRatio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IntSort!$J$3:$J$39</c:f>
              <c:numCache>
                <c:formatCode>General</c:formatCode>
                <c:ptCount val="3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13</c:v>
                </c:pt>
                <c:pt idx="4">
                  <c:v>16</c:v>
                </c:pt>
                <c:pt idx="5">
                  <c:v>27</c:v>
                </c:pt>
                <c:pt idx="6">
                  <c:v>32</c:v>
                </c:pt>
                <c:pt idx="7">
                  <c:v>47</c:v>
                </c:pt>
                <c:pt idx="8">
                  <c:v>64</c:v>
                </c:pt>
                <c:pt idx="9">
                  <c:v>101</c:v>
                </c:pt>
                <c:pt idx="10">
                  <c:v>128</c:v>
                </c:pt>
                <c:pt idx="11">
                  <c:v>177</c:v>
                </c:pt>
                <c:pt idx="12">
                  <c:v>256</c:v>
                </c:pt>
                <c:pt idx="13">
                  <c:v>365</c:v>
                </c:pt>
                <c:pt idx="14">
                  <c:v>512</c:v>
                </c:pt>
                <c:pt idx="15">
                  <c:v>748</c:v>
                </c:pt>
                <c:pt idx="16">
                  <c:v>1024</c:v>
                </c:pt>
                <c:pt idx="17">
                  <c:v>1537</c:v>
                </c:pt>
                <c:pt idx="18">
                  <c:v>2048</c:v>
                </c:pt>
                <c:pt idx="19">
                  <c:v>3389</c:v>
                </c:pt>
                <c:pt idx="20">
                  <c:v>4096</c:v>
                </c:pt>
                <c:pt idx="21">
                  <c:v>6793</c:v>
                </c:pt>
                <c:pt idx="22">
                  <c:v>8192</c:v>
                </c:pt>
                <c:pt idx="23">
                  <c:v>14289</c:v>
                </c:pt>
                <c:pt idx="24">
                  <c:v>16384</c:v>
                </c:pt>
                <c:pt idx="25">
                  <c:v>23124</c:v>
                </c:pt>
                <c:pt idx="26">
                  <c:v>32768</c:v>
                </c:pt>
                <c:pt idx="27">
                  <c:v>53151</c:v>
                </c:pt>
                <c:pt idx="28">
                  <c:v>65536</c:v>
                </c:pt>
                <c:pt idx="29">
                  <c:v>96317</c:v>
                </c:pt>
                <c:pt idx="30">
                  <c:v>131072</c:v>
                </c:pt>
                <c:pt idx="31">
                  <c:v>191217</c:v>
                </c:pt>
                <c:pt idx="32">
                  <c:v>262144</c:v>
                </c:pt>
                <c:pt idx="33">
                  <c:v>398853</c:v>
                </c:pt>
                <c:pt idx="34">
                  <c:v>524288</c:v>
                </c:pt>
                <c:pt idx="35">
                  <c:v>719289</c:v>
                </c:pt>
                <c:pt idx="36">
                  <c:v>1048576</c:v>
                </c:pt>
              </c:numCache>
            </c:numRef>
          </c:cat>
          <c:val>
            <c:numRef>
              <c:f>IntSort!$M$3:$M$39</c:f>
              <c:numCache>
                <c:formatCode>General</c:formatCode>
                <c:ptCount val="37"/>
                <c:pt idx="0">
                  <c:v>0.38652420909880131</c:v>
                </c:pt>
                <c:pt idx="1">
                  <c:v>0.60197067771492219</c:v>
                </c:pt>
                <c:pt idx="2">
                  <c:v>0.89159139148185218</c:v>
                </c:pt>
                <c:pt idx="3">
                  <c:v>1.1578230350419334</c:v>
                </c:pt>
                <c:pt idx="4">
                  <c:v>1.7279348259773133</c:v>
                </c:pt>
                <c:pt idx="5">
                  <c:v>0.71386458029432509</c:v>
                </c:pt>
                <c:pt idx="6">
                  <c:v>1.3073632867843463</c:v>
                </c:pt>
                <c:pt idx="7">
                  <c:v>1.0456294008027509</c:v>
                </c:pt>
                <c:pt idx="8">
                  <c:v>1.5517126067652809</c:v>
                </c:pt>
                <c:pt idx="9">
                  <c:v>1.2115564299861286</c:v>
                </c:pt>
                <c:pt idx="10">
                  <c:v>1.5834858296398624</c:v>
                </c:pt>
                <c:pt idx="11">
                  <c:v>1.3599224095798148</c:v>
                </c:pt>
                <c:pt idx="12">
                  <c:v>1.5693767012118338</c:v>
                </c:pt>
                <c:pt idx="13">
                  <c:v>1.1523917123355185</c:v>
                </c:pt>
                <c:pt idx="14">
                  <c:v>1.2636484748894805</c:v>
                </c:pt>
                <c:pt idx="15">
                  <c:v>1.3303552196114365</c:v>
                </c:pt>
                <c:pt idx="16">
                  <c:v>1.384292163574637</c:v>
                </c:pt>
                <c:pt idx="17">
                  <c:v>1.3454478940644345</c:v>
                </c:pt>
                <c:pt idx="18">
                  <c:v>2.3464573972173937</c:v>
                </c:pt>
                <c:pt idx="19">
                  <c:v>3.9588541419322394</c:v>
                </c:pt>
                <c:pt idx="20">
                  <c:v>4.7263453505622666</c:v>
                </c:pt>
                <c:pt idx="21">
                  <c:v>5.1703958903895568</c:v>
                </c:pt>
                <c:pt idx="22">
                  <c:v>4.8147219187928663</c:v>
                </c:pt>
                <c:pt idx="23">
                  <c:v>5.6650839811772702</c:v>
                </c:pt>
                <c:pt idx="24">
                  <c:v>5.3155529309461338</c:v>
                </c:pt>
                <c:pt idx="25">
                  <c:v>4.1116636177557959</c:v>
                </c:pt>
                <c:pt idx="26">
                  <c:v>3.9873462512774189</c:v>
                </c:pt>
                <c:pt idx="27">
                  <c:v>4.0311186268621855</c:v>
                </c:pt>
                <c:pt idx="28">
                  <c:v>3.7815482015455144</c:v>
                </c:pt>
                <c:pt idx="29">
                  <c:v>3.7144101094071851</c:v>
                </c:pt>
                <c:pt idx="30">
                  <c:v>3.5778620762482141</c:v>
                </c:pt>
                <c:pt idx="31">
                  <c:v>3.0331997912588986</c:v>
                </c:pt>
                <c:pt idx="32">
                  <c:v>3.4336101342062384</c:v>
                </c:pt>
                <c:pt idx="33">
                  <c:v>1.6890690826585264</c:v>
                </c:pt>
                <c:pt idx="34">
                  <c:v>1.2959345774594984</c:v>
                </c:pt>
                <c:pt idx="35">
                  <c:v>1.2816444500158362</c:v>
                </c:pt>
                <c:pt idx="36">
                  <c:v>1.139034120693547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26-4D66-A974-3BF9207A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143439"/>
        <c:axId val="2061135759"/>
      </c:lineChart>
      <c:catAx>
        <c:axId val="20611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0879"/>
        <c:crosses val="autoZero"/>
        <c:auto val="1"/>
        <c:lblAlgn val="ctr"/>
        <c:lblOffset val="100"/>
        <c:noMultiLvlLbl val="0"/>
      </c:catAx>
      <c:valAx>
        <c:axId val="20611208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14159"/>
        <c:crosses val="autoZero"/>
        <c:crossBetween val="between"/>
      </c:valAx>
      <c:valAx>
        <c:axId val="20611357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43439"/>
        <c:crosses val="max"/>
        <c:crossBetween val="between"/>
      </c:valAx>
      <c:catAx>
        <c:axId val="2061143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1357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60960</xdr:colOff>
      <xdr:row>1</xdr:row>
      <xdr:rowOff>7620</xdr:rowOff>
    </xdr:from>
    <xdr:to>
      <xdr:col>15</xdr:col>
      <xdr:colOff>45720</xdr:colOff>
      <xdr:row>9</xdr:row>
      <xdr:rowOff>22860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158B76-7DEE-7F39-DC9F-DBE814A67318}"/>
            </a:ext>
          </a:extLst>
        </xdr:cNvPr>
        <xdr:cNvSpPr txBox="1"/>
      </xdr:nvSpPr>
      <xdr:spPr>
        <a:xfrm>
          <a:off x="13014960" y="190500"/>
          <a:ext cx="2308860" cy="1478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Size:</a:t>
          </a:r>
          <a:r>
            <a:rPr lang="en-US" sz="1100" baseline="0"/>
            <a:t> number of elements to sort</a:t>
          </a:r>
        </a:p>
        <a:p>
          <a:r>
            <a:rPr lang="en-US" sz="1100" baseline="0"/>
            <a:t>A.Mean (N.Mean): Mean execution time for Array.Sort (network sort), with baseline subtracted</a:t>
          </a:r>
        </a:p>
        <a:p>
          <a:r>
            <a:rPr lang="en-US" sz="1100" baseline="0"/>
            <a:t>MeanRatio: Ratio of A.Mean and N.Mean. When &lt; 1, Array.Sort is faster.</a:t>
          </a:r>
        </a:p>
      </xdr:txBody>
    </xdr:sp>
    <xdr:clientData/>
  </xdr:twoCellAnchor>
  <xdr:twoCellAnchor>
    <xdr:from>
      <xdr:col>5</xdr:col>
      <xdr:colOff>0</xdr:colOff>
      <xdr:row>40</xdr:row>
      <xdr:rowOff>34290</xdr:rowOff>
    </xdr:from>
    <xdr:to>
      <xdr:col>13</xdr:col>
      <xdr:colOff>7620</xdr:colOff>
      <xdr:row>65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77441-6F1D-0A08-5B8A-1E7147C3D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ian Vrba" refreshedDate="45991.317435069446" createdVersion="8" refreshedVersion="8" minRefreshableVersion="3" recordCount="111" xr:uid="{AC89B9C8-FD27-4277-AD1A-99F1D3B98D02}">
  <cacheSource type="worksheet">
    <worksheetSource name="IntSortRaw"/>
  </cacheSource>
  <cacheFields count="4">
    <cacheField name="Method" numFmtId="0">
      <sharedItems count="3">
        <s v="AdditiveBaseline"/>
        <s v="ArraySort"/>
        <s v="NetworkSort"/>
      </sharedItems>
    </cacheField>
    <cacheField name="Parameters" numFmtId="0">
      <sharedItems containsSemiMixedTypes="0" containsString="0" containsNumber="1" containsInteger="1" minValue="4" maxValue="1048576" count="37">
        <n v="4"/>
        <n v="6"/>
        <n v="8"/>
        <n v="13"/>
        <n v="16"/>
        <n v="27"/>
        <n v="32"/>
        <n v="47"/>
        <n v="64"/>
        <n v="101"/>
        <n v="128"/>
        <n v="177"/>
        <n v="256"/>
        <n v="365"/>
        <n v="512"/>
        <n v="748"/>
        <n v="1024"/>
        <n v="1537"/>
        <n v="2048"/>
        <n v="3389"/>
        <n v="4096"/>
        <n v="6793"/>
        <n v="8192"/>
        <n v="14289"/>
        <n v="16384"/>
        <n v="23124"/>
        <n v="32768"/>
        <n v="53151"/>
        <n v="65536"/>
        <n v="96317"/>
        <n v="131072"/>
        <n v="191217"/>
        <n v="262144"/>
        <n v="398853"/>
        <n v="524288"/>
        <n v="719289"/>
        <n v="1048576"/>
      </sharedItems>
    </cacheField>
    <cacheField name="Mean" numFmtId="0">
      <sharedItems containsSemiMixedTypes="0" containsString="0" containsNumber="1" minValue="0.74215736240148544" maxValue="55960775.555555552"/>
    </cacheField>
    <cacheField name="StandardError" numFmtId="0">
      <sharedItems containsSemiMixedTypes="0" containsString="0" containsNumber="1" minValue="2.0096989459468554E-3" maxValue="278733.66955972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n v="0.74215736240148544"/>
    <n v="4.2015936435378437E-3"/>
  </r>
  <r>
    <x v="1"/>
    <x v="0"/>
    <n v="7.2409947713216143"/>
    <n v="1.6778030406363886E-2"/>
  </r>
  <r>
    <x v="2"/>
    <x v="0"/>
    <n v="17.555690010388691"/>
    <n v="3.0357631999324688E-2"/>
  </r>
  <r>
    <x v="0"/>
    <x v="1"/>
    <n v="0.77695048724611604"/>
    <n v="2.307353102215642E-3"/>
  </r>
  <r>
    <x v="1"/>
    <x v="1"/>
    <n v="11.008014849254064"/>
    <n v="1.3501131325821732E-2"/>
  </r>
  <r>
    <x v="2"/>
    <x v="1"/>
    <n v="17.772901852925617"/>
    <n v="2.3579041324934571E-2"/>
  </r>
  <r>
    <x v="0"/>
    <x v="2"/>
    <n v="0.78946205476919806"/>
    <n v="2.840253965775732E-3"/>
  </r>
  <r>
    <x v="1"/>
    <x v="2"/>
    <n v="15.687290728092194"/>
    <n v="2.4435694300161629E-2"/>
  </r>
  <r>
    <x v="2"/>
    <x v="2"/>
    <n v="17.498717904090881"/>
    <n v="1.7414029803816129E-2"/>
  </r>
  <r>
    <x v="0"/>
    <x v="3"/>
    <n v="0.92558525502681732"/>
    <n v="2.4076768721356082E-3"/>
  </r>
  <r>
    <x v="1"/>
    <x v="3"/>
    <n v="32.544040679931641"/>
    <n v="3.3906292286850985E-2"/>
  </r>
  <r>
    <x v="2"/>
    <x v="3"/>
    <n v="28.234124183654785"/>
    <n v="4.2710419482352047E-2"/>
  </r>
  <r>
    <x v="0"/>
    <x v="4"/>
    <n v="0.92157689233620965"/>
    <n v="2.5857767511762433E-3"/>
  </r>
  <r>
    <x v="1"/>
    <x v="4"/>
    <n v="47.89933519704001"/>
    <n v="5.6308436167359921E-2"/>
  </r>
  <r>
    <x v="2"/>
    <x v="4"/>
    <n v="28.108805020650227"/>
    <n v="1.1806300094827788E-2"/>
  </r>
  <r>
    <x v="0"/>
    <x v="5"/>
    <n v="1.4218166222174962"/>
    <n v="2.2583339998591607E-3"/>
  </r>
  <r>
    <x v="1"/>
    <x v="5"/>
    <n v="73.896238803863525"/>
    <n v="0.12010673493301273"/>
  </r>
  <r>
    <x v="2"/>
    <x v="5"/>
    <n v="102.94586499532063"/>
    <n v="7.0346541366544155E-2"/>
  </r>
  <r>
    <x v="0"/>
    <x v="6"/>
    <n v="1.6287070761124294"/>
    <n v="3.682011397093835E-3"/>
  </r>
  <r>
    <x v="1"/>
    <x v="6"/>
    <n v="106.82361523310344"/>
    <n v="0.11368557359584337"/>
  </r>
  <r>
    <x v="2"/>
    <x v="6"/>
    <n v="82.092117071151733"/>
    <n v="8.5237155087135349E-2"/>
  </r>
  <r>
    <x v="0"/>
    <x v="7"/>
    <n v="1.8320171038309734"/>
    <n v="3.9463378819567059E-3"/>
  </r>
  <r>
    <x v="1"/>
    <x v="7"/>
    <n v="151.15697940190634"/>
    <n v="9.235614065469934E-2"/>
  </r>
  <r>
    <x v="2"/>
    <x v="7"/>
    <n v="144.64070456368583"/>
    <n v="0.17870124612443863"/>
  </r>
  <r>
    <x v="0"/>
    <x v="8"/>
    <n v="2.2185688962539039"/>
    <n v="2.0096989459468554E-3"/>
  </r>
  <r>
    <x v="1"/>
    <x v="8"/>
    <n v="238.19814682006836"/>
    <n v="0.53495834678904364"/>
  </r>
  <r>
    <x v="2"/>
    <x v="8"/>
    <n v="154.29542700449625"/>
    <n v="0.23647781455991043"/>
  </r>
  <r>
    <x v="0"/>
    <x v="9"/>
    <n v="2.9162404792649403"/>
    <n v="2.7214830684503398E-3"/>
  </r>
  <r>
    <x v="1"/>
    <x v="9"/>
    <n v="377.45688642774309"/>
    <n v="0.42910295067176923"/>
  </r>
  <r>
    <x v="2"/>
    <x v="9"/>
    <n v="312.05631573994953"/>
    <n v="0.39183390535662527"/>
  </r>
  <r>
    <x v="0"/>
    <x v="10"/>
    <n v="3.4325291330997763"/>
    <n v="3.641638237263628E-3"/>
  </r>
  <r>
    <x v="1"/>
    <x v="10"/>
    <n v="534.54373677571618"/>
    <n v="0.79991792753630153"/>
  </r>
  <r>
    <x v="2"/>
    <x v="10"/>
    <n v="338.83888244628906"/>
    <n v="0.31575490510242132"/>
  </r>
  <r>
    <x v="0"/>
    <x v="11"/>
    <n v="4.8413080473740893"/>
    <n v="4.6745324560884018E-3"/>
  </r>
  <r>
    <x v="1"/>
    <x v="11"/>
    <n v="766.62420272827148"/>
    <n v="1.0872736694017628"/>
  </r>
  <r>
    <x v="2"/>
    <x v="11"/>
    <n v="565.00774792262484"/>
    <n v="0.542920095027839"/>
  </r>
  <r>
    <x v="0"/>
    <x v="12"/>
    <n v="7.2786350051561994"/>
    <n v="6.7116069366005403E-3"/>
  </r>
  <r>
    <x v="1"/>
    <x v="12"/>
    <n v="1246.7985153198242"/>
    <n v="1.9477582840148002"/>
  </r>
  <r>
    <x v="2"/>
    <x v="12"/>
    <n v="797.09530512491858"/>
    <n v="0.88491459550042684"/>
  </r>
  <r>
    <x v="0"/>
    <x v="13"/>
    <n v="10.750917345285416"/>
    <n v="1.4615303543521545E-2"/>
  </r>
  <r>
    <x v="1"/>
    <x v="13"/>
    <n v="1536.2626139322917"/>
    <n v="1.2352636671563446"/>
  </r>
  <r>
    <x v="2"/>
    <x v="13"/>
    <n v="1334.5296986897786"/>
    <n v="2.3591155393235708"/>
  </r>
  <r>
    <x v="0"/>
    <x v="14"/>
    <n v="13.152679999669393"/>
    <n v="1.9296039792367943E-2"/>
  </r>
  <r>
    <x v="1"/>
    <x v="14"/>
    <n v="2467.547810872396"/>
    <n v="2.9495135730570521"/>
  </r>
  <r>
    <x v="2"/>
    <x v="14"/>
    <n v="1955.4611460367839"/>
    <n v="3.2352537871977898"/>
  </r>
  <r>
    <x v="0"/>
    <x v="15"/>
    <n v="18.554261525472004"/>
    <n v="2.7882856575294861E-2"/>
  </r>
  <r>
    <x v="1"/>
    <x v="15"/>
    <n v="4066.186726888021"/>
    <n v="6.236094437575102"/>
  </r>
  <r>
    <x v="2"/>
    <x v="15"/>
    <n v="3061.0743386404856"/>
    <n v="2.3150604028927848"/>
  </r>
  <r>
    <x v="0"/>
    <x v="16"/>
    <n v="25.13560950756073"/>
    <n v="2.077655170991909E-2"/>
  </r>
  <r>
    <x v="1"/>
    <x v="16"/>
    <n v="6232.1669514973955"/>
    <n v="7.0741838201730287"/>
  </r>
  <r>
    <x v="2"/>
    <x v="16"/>
    <n v="4509.0382893880205"/>
    <n v="4.4075825837257181"/>
  </r>
  <r>
    <x v="0"/>
    <x v="17"/>
    <n v="33.838273684183754"/>
    <n v="4.2803037234836264E-2"/>
  </r>
  <r>
    <x v="1"/>
    <x v="17"/>
    <n v="9733.2043239048544"/>
    <n v="12.038174427911652"/>
  </r>
  <r>
    <x v="2"/>
    <x v="17"/>
    <n v="7242.8621927897138"/>
    <n v="5.7424241223142012"/>
  </r>
  <r>
    <x v="0"/>
    <x v="18"/>
    <n v="46.936845779418945"/>
    <n v="2.4883384511926478E-2"/>
  </r>
  <r>
    <x v="1"/>
    <x v="18"/>
    <n v="24353.967895507813"/>
    <n v="70.156669680175241"/>
  </r>
  <r>
    <x v="2"/>
    <x v="18"/>
    <n v="10405.970458984375"/>
    <n v="15.704815967992383"/>
  </r>
  <r>
    <x v="0"/>
    <x v="19"/>
    <n v="86.587580809226409"/>
    <n v="4.3243624164302011E-2"/>
  </r>
  <r>
    <x v="1"/>
    <x v="19"/>
    <n v="72866.314290364578"/>
    <n v="83.665491588565132"/>
  </r>
  <r>
    <x v="2"/>
    <x v="19"/>
    <n v="18470.626017252605"/>
    <n v="19.514963895038452"/>
  </r>
  <r>
    <x v="0"/>
    <x v="20"/>
    <n v="103.94646286964417"/>
    <n v="0.15295308672336663"/>
  </r>
  <r>
    <x v="1"/>
    <x v="20"/>
    <n v="111929.92788461539"/>
    <n v="139.12867517589646"/>
  </r>
  <r>
    <x v="2"/>
    <x v="20"/>
    <n v="23764.08408028739"/>
    <n v="22.706331913410285"/>
  </r>
  <r>
    <x v="0"/>
    <x v="21"/>
    <n v="353.45462285555328"/>
    <n v="0.28505845854976031"/>
  </r>
  <r>
    <x v="1"/>
    <x v="21"/>
    <n v="212606.8798828125"/>
    <n v="248.6889139840392"/>
  </r>
  <r>
    <x v="2"/>
    <x v="21"/>
    <n v="41405.132242838539"/>
    <n v="29.026616006042754"/>
  </r>
  <r>
    <x v="0"/>
    <x v="22"/>
    <n v="515.88355382283532"/>
    <n v="0.41955319155899734"/>
  </r>
  <r>
    <x v="1"/>
    <x v="22"/>
    <n v="263261.19907924108"/>
    <n v="211.66801245982617"/>
  </r>
  <r>
    <x v="2"/>
    <x v="22"/>
    <n v="55087.11735652043"/>
    <n v="22.947134332063658"/>
  </r>
  <r>
    <x v="0"/>
    <x v="23"/>
    <n v="894.01930491129554"/>
    <n v="0.49526609908779262"/>
  </r>
  <r>
    <x v="1"/>
    <x v="23"/>
    <n v="495621.83430989581"/>
    <n v="633.28459095721814"/>
  </r>
  <r>
    <x v="2"/>
    <x v="23"/>
    <n v="88223.318684895828"/>
    <n v="87.951168505037586"/>
  </r>
  <r>
    <x v="0"/>
    <x v="24"/>
    <n v="1034.0834426879883"/>
    <n v="1.0846675113631985"/>
  </r>
  <r>
    <x v="1"/>
    <x v="24"/>
    <n v="582008.42447916663"/>
    <n v="1003.3955337195217"/>
  </r>
  <r>
    <x v="2"/>
    <x v="24"/>
    <n v="110331.14972795759"/>
    <n v="160.28349938837098"/>
  </r>
  <r>
    <x v="0"/>
    <x v="25"/>
    <n v="1528.2964579264324"/>
    <n v="1.2761986064012625"/>
  </r>
  <r>
    <x v="1"/>
    <x v="25"/>
    <n v="850862.80924479163"/>
    <n v="1026.3222912203964"/>
  </r>
  <r>
    <x v="2"/>
    <x v="25"/>
    <n v="208095.41666666666"/>
    <n v="179.00967565396579"/>
  </r>
  <r>
    <x v="0"/>
    <x v="26"/>
    <n v="2190.1632690429688"/>
    <n v="2.8056537028946651"/>
  </r>
  <r>
    <x v="1"/>
    <x v="26"/>
    <n v="1301744.740513393"/>
    <n v="1047.0620620905165"/>
  </r>
  <r>
    <x v="2"/>
    <x v="26"/>
    <n v="328109.833984375"/>
    <n v="423.96446353385238"/>
  </r>
  <r>
    <x v="0"/>
    <x v="27"/>
    <n v="3478.5106658935547"/>
    <n v="5.7795368452020819"/>
  </r>
  <r>
    <x v="1"/>
    <x v="27"/>
    <n v="2267192.96875"/>
    <n v="4004.7816831138039"/>
  </r>
  <r>
    <x v="2"/>
    <x v="27"/>
    <n v="565038.38216145837"/>
    <n v="973.45677689137938"/>
  </r>
  <r>
    <x v="0"/>
    <x v="28"/>
    <n v="14294.617818196615"/>
    <n v="14.660120302723621"/>
  </r>
  <r>
    <x v="1"/>
    <x v="28"/>
    <n v="2755987.3697916665"/>
    <n v="2211.9151194141891"/>
  </r>
  <r>
    <x v="2"/>
    <x v="28"/>
    <n v="739313.20963541663"/>
    <n v="665.74423012069985"/>
  </r>
  <r>
    <x v="0"/>
    <x v="29"/>
    <n v="19751.958821614582"/>
    <n v="34.192877981311327"/>
  </r>
  <r>
    <x v="1"/>
    <x v="29"/>
    <n v="4091273.8020833335"/>
    <n v="4379.618264180448"/>
  </r>
  <r>
    <x v="2"/>
    <x v="29"/>
    <n v="1115894.2057291667"/>
    <n v="1165.5295405768384"/>
  </r>
  <r>
    <x v="0"/>
    <x v="30"/>
    <n v="31977.608642578125"/>
    <n v="21.368775707632611"/>
  </r>
  <r>
    <x v="1"/>
    <x v="30"/>
    <n v="5827653.4598214282"/>
    <n v="5293.6112308977517"/>
  </r>
  <r>
    <x v="2"/>
    <x v="30"/>
    <n v="1651848.8411458333"/>
    <n v="1541.8012092393765"/>
  </r>
  <r>
    <x v="0"/>
    <x v="31"/>
    <n v="48031.68522761418"/>
    <n v="54.964195609339875"/>
  </r>
  <r>
    <x v="1"/>
    <x v="31"/>
    <n v="8972609.6875"/>
    <n v="16201.632600055465"/>
  </r>
  <r>
    <x v="2"/>
    <x v="31"/>
    <n v="2990329.7916666665"/>
    <n v="3443.756081559894"/>
  </r>
  <r>
    <x v="0"/>
    <x v="32"/>
    <n v="62086.285807291664"/>
    <n v="65.803120139591641"/>
  </r>
  <r>
    <x v="1"/>
    <x v="32"/>
    <n v="12517338.504464285"/>
    <n v="27616.067339306956"/>
  </r>
  <r>
    <x v="2"/>
    <x v="32"/>
    <n v="3689537.199519231"/>
    <n v="8089.6895356081213"/>
  </r>
  <r>
    <x v="0"/>
    <x v="33"/>
    <n v="60126.053059895836"/>
    <n v="74.36042920610322"/>
  </r>
  <r>
    <x v="1"/>
    <x v="33"/>
    <n v="19774671.875"/>
    <n v="19519.045203182643"/>
  </r>
  <r>
    <x v="2"/>
    <x v="33"/>
    <n v="11731967.083333334"/>
    <n v="44149.987947792695"/>
  </r>
  <r>
    <x v="0"/>
    <x v="34"/>
    <n v="72017.23876953125"/>
    <n v="81.777553532700409"/>
  </r>
  <r>
    <x v="1"/>
    <x v="34"/>
    <n v="26317152.916666668"/>
    <n v="30042.668298225151"/>
  </r>
  <r>
    <x v="2"/>
    <x v="34"/>
    <n v="20323915.856481481"/>
    <n v="109203.52261610575"/>
  </r>
  <r>
    <x v="0"/>
    <x v="35"/>
    <n v="106041.3423426011"/>
    <n v="251.48699321729254"/>
  </r>
  <r>
    <x v="1"/>
    <x v="35"/>
    <n v="37156033.809523813"/>
    <n v="30933.275509626437"/>
  </r>
  <r>
    <x v="2"/>
    <x v="35"/>
    <n v="29014208.866279069"/>
    <n v="160876.79436758897"/>
  </r>
  <r>
    <x v="0"/>
    <x v="36"/>
    <n v="153388.88784555288"/>
    <n v="146.4088680106999"/>
  </r>
  <r>
    <x v="1"/>
    <x v="36"/>
    <n v="55960775.555555552"/>
    <n v="68286.912095590204"/>
  </r>
  <r>
    <x v="2"/>
    <x v="36"/>
    <n v="49148748.775510207"/>
    <n v="278733.669559720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E2A9A-9784-4C49-A3A1-39F4684AD14F}" name="IntSortPivoted" cacheId="1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showHeaders="0" multipleFieldFilters="0" chartFormat="11">
  <location ref="F1:I39" firstHeaderRow="1" firstDataRow="2" firstDataCol="1"/>
  <pivotFields count="4">
    <pivotField axis="axisCol" showAll="0" defaultSubtotal="0">
      <items count="3">
        <item x="0"/>
        <item x="1"/>
        <item x="2"/>
      </items>
    </pivotField>
    <pivotField axis="axisRow" showAll="0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dataField="1" showAll="0" defaultSubtotal="0"/>
    <pivotField showAll="0" defaultSubtotal="0"/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</rowItems>
  <colFields count="1">
    <field x="0"/>
  </colFields>
  <colItems count="3">
    <i>
      <x/>
    </i>
    <i>
      <x v="1"/>
    </i>
    <i>
      <x v="2"/>
    </i>
  </colItems>
  <dataFields count="1">
    <dataField name="Sum of Mean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A2EE10-0666-46DF-B3A4-DB3266C8844C}" autoFormatId="16" applyNumberFormats="0" applyBorderFormats="0" applyFontFormats="0" applyPatternFormats="0" applyAlignmentFormats="0" applyWidthHeightFormats="0">
  <queryTableRefresh nextId="10">
    <queryTableFields count="4">
      <queryTableField id="1" name="Method" tableColumnId="1"/>
      <queryTableField id="2" name="Parameters" tableColumnId="2"/>
      <queryTableField id="3" name="Mean" tableColumnId="3"/>
      <queryTableField id="4" name="StandardErr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929401-06B2-4E98-8E8B-A503BC8DB739}" name="IntSortRaw" displayName="IntSortRaw" ref="A1:D112" tableType="queryTable" totalsRowShown="0">
  <autoFilter ref="A1:D112" xr:uid="{30929401-06B2-4E98-8E8B-A503BC8DB739}"/>
  <tableColumns count="4">
    <tableColumn id="1" xr3:uid="{CAD96FAE-A865-40D1-886A-43C2E4FE1DA1}" uniqueName="1" name="Method" queryTableFieldId="1"/>
    <tableColumn id="2" xr3:uid="{AC1744BB-D065-4802-AB17-28A84675469E}" uniqueName="2" name="Parameters" queryTableFieldId="2"/>
    <tableColumn id="3" xr3:uid="{6742CC20-36D5-42B5-B03C-D247EFD6B985}" uniqueName="3" name="Mean" queryTableFieldId="3" dataDxfId="2"/>
    <tableColumn id="4" xr3:uid="{11FF6106-BBA8-453E-82D5-E1A55BE870ED}" uniqueName="4" name="StandardError" queryTableFieldId="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188B1-2E7C-47F5-94ED-DF538697A236}" name="IntSortCleaned" displayName="IntSortCleaned" ref="J2:M39" totalsRowShown="0">
  <autoFilter ref="J2:M39" xr:uid="{6B8188B1-2E7C-47F5-94ED-DF538697A236}"/>
  <tableColumns count="4">
    <tableColumn id="4" xr3:uid="{5E1DB69F-AB38-4FC4-88F8-0B9A205380C2}" name="Size" dataDxfId="0"/>
    <tableColumn id="1" xr3:uid="{0CA5E25F-5DC5-420F-81D7-8828FC19A27F}" name="A.Mean">
      <calculatedColumnFormula>H3-G3</calculatedColumnFormula>
    </tableColumn>
    <tableColumn id="2" xr3:uid="{BF6FDF84-94C5-45B7-9C0B-71705EC1AD5D}" name="N.Mean">
      <calculatedColumnFormula>I3-G3</calculatedColumnFormula>
    </tableColumn>
    <tableColumn id="3" xr3:uid="{EA9AF7FA-CAE6-4B62-AC80-02579F62BAA7}" name="MeanRatio">
      <calculatedColumnFormula>IntSortCleaned[[#This Row],[A.Mean]]/IntSortCleaned[[#This Row],[N.Mean]]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52A0-90CB-4955-A0B3-EC3F71B1BA68}">
  <dimension ref="A1:O112"/>
  <sheetViews>
    <sheetView tabSelected="1" topLeftCell="C28" zoomScaleNormal="100" workbookViewId="0">
      <selection activeCell="P15" sqref="P15"/>
    </sheetView>
  </sheetViews>
  <sheetFormatPr defaultRowHeight="14.4" x14ac:dyDescent="0.3"/>
  <cols>
    <col min="1" max="1" width="14.44140625" bestFit="1" customWidth="1"/>
    <col min="2" max="2" width="12.88671875" bestFit="1" customWidth="1"/>
    <col min="3" max="3" width="12.109375" bestFit="1" customWidth="1"/>
    <col min="4" max="4" width="14.88671875" bestFit="1" customWidth="1"/>
    <col min="5" max="5" width="24.44140625" bestFit="1" customWidth="1"/>
    <col min="6" max="6" width="11.44140625" bestFit="1" customWidth="1"/>
    <col min="7" max="7" width="15.21875" bestFit="1" customWidth="1"/>
    <col min="8" max="9" width="12" bestFit="1" customWidth="1"/>
    <col min="10" max="10" width="15.21875" bestFit="1" customWidth="1"/>
    <col min="11" max="11" width="10.33203125" customWidth="1"/>
    <col min="12" max="12" width="11.44140625" bestFit="1" customWidth="1"/>
    <col min="13" max="13" width="22.44140625" bestFit="1" customWidth="1"/>
    <col min="14" max="14" width="11.44140625" bestFit="1" customWidth="1"/>
    <col min="15" max="15" width="22.44140625" bestFit="1" customWidth="1"/>
    <col min="16" max="16" width="11.44140625" bestFit="1" customWidth="1"/>
    <col min="17" max="17" width="22.44140625" bestFit="1" customWidth="1"/>
    <col min="18" max="18" width="18.109375" bestFit="1" customWidth="1"/>
    <col min="19" max="24" width="28.33203125" bestFit="1" customWidth="1"/>
  </cols>
  <sheetData>
    <row r="1" spans="1:13" x14ac:dyDescent="0.3">
      <c r="A1" t="s">
        <v>3</v>
      </c>
      <c r="B1" t="s">
        <v>4</v>
      </c>
      <c r="C1" t="s">
        <v>5</v>
      </c>
      <c r="D1" t="s">
        <v>6</v>
      </c>
      <c r="F1" s="5" t="s">
        <v>7</v>
      </c>
    </row>
    <row r="2" spans="1:13" x14ac:dyDescent="0.3">
      <c r="A2" t="s">
        <v>2</v>
      </c>
      <c r="B2">
        <v>4</v>
      </c>
      <c r="C2">
        <v>0.74215736240148544</v>
      </c>
      <c r="D2">
        <v>4.2015936435378437E-3</v>
      </c>
      <c r="G2" t="s">
        <v>2</v>
      </c>
      <c r="H2" t="s">
        <v>0</v>
      </c>
      <c r="I2" t="s">
        <v>1</v>
      </c>
      <c r="J2" t="s">
        <v>10</v>
      </c>
      <c r="K2" t="s">
        <v>8</v>
      </c>
      <c r="L2" t="s">
        <v>9</v>
      </c>
      <c r="M2" t="s">
        <v>11</v>
      </c>
    </row>
    <row r="3" spans="1:13" x14ac:dyDescent="0.3">
      <c r="A3" t="s">
        <v>0</v>
      </c>
      <c r="B3">
        <v>4</v>
      </c>
      <c r="C3">
        <v>7.2409947713216143</v>
      </c>
      <c r="D3">
        <v>1.6778030406363886E-2</v>
      </c>
      <c r="F3" s="1">
        <v>4</v>
      </c>
      <c r="G3" s="4">
        <v>0.74215736240148544</v>
      </c>
      <c r="H3" s="4">
        <v>7.2409947713216143</v>
      </c>
      <c r="I3" s="4">
        <v>17.555690010388691</v>
      </c>
      <c r="J3" s="1">
        <v>4</v>
      </c>
      <c r="K3">
        <f>H3-G3</f>
        <v>6.4988374089201288</v>
      </c>
      <c r="L3">
        <f>I3-G3</f>
        <v>16.813532647987206</v>
      </c>
      <c r="M3">
        <f>IntSortCleaned[[#This Row],[A.Mean]]/IntSortCleaned[[#This Row],[N.Mean]]</f>
        <v>0.38652420909880131</v>
      </c>
    </row>
    <row r="4" spans="1:13" x14ac:dyDescent="0.3">
      <c r="A4" t="s">
        <v>1</v>
      </c>
      <c r="B4">
        <v>4</v>
      </c>
      <c r="C4">
        <v>17.555690010388691</v>
      </c>
      <c r="D4">
        <v>3.0357631999324688E-2</v>
      </c>
      <c r="F4" s="1">
        <v>6</v>
      </c>
      <c r="G4" s="4">
        <v>0.77695048724611604</v>
      </c>
      <c r="H4" s="4">
        <v>11.008014849254064</v>
      </c>
      <c r="I4" s="4">
        <v>17.772901852925617</v>
      </c>
      <c r="J4" s="1">
        <v>6</v>
      </c>
      <c r="K4">
        <f>H4-G4</f>
        <v>10.231064362007947</v>
      </c>
      <c r="L4">
        <f>I4-G4</f>
        <v>16.995951365679502</v>
      </c>
      <c r="M4">
        <f>IntSortCleaned[[#This Row],[A.Mean]]/IntSortCleaned[[#This Row],[N.Mean]]</f>
        <v>0.60197067771492219</v>
      </c>
    </row>
    <row r="5" spans="1:13" x14ac:dyDescent="0.3">
      <c r="A5" t="s">
        <v>2</v>
      </c>
      <c r="B5">
        <v>6</v>
      </c>
      <c r="C5">
        <v>0.77695048724611604</v>
      </c>
      <c r="D5">
        <v>2.307353102215642E-3</v>
      </c>
      <c r="F5" s="1">
        <v>8</v>
      </c>
      <c r="G5" s="4">
        <v>0.78946205476919806</v>
      </c>
      <c r="H5" s="4">
        <v>15.687290728092194</v>
      </c>
      <c r="I5" s="4">
        <v>17.498717904090881</v>
      </c>
      <c r="J5" s="1">
        <v>8</v>
      </c>
      <c r="K5">
        <f>H5-G5</f>
        <v>14.897828673322996</v>
      </c>
      <c r="L5">
        <f>I5-G5</f>
        <v>16.709255849321682</v>
      </c>
      <c r="M5">
        <f>IntSortCleaned[[#This Row],[A.Mean]]/IntSortCleaned[[#This Row],[N.Mean]]</f>
        <v>0.89159139148185218</v>
      </c>
    </row>
    <row r="6" spans="1:13" x14ac:dyDescent="0.3">
      <c r="A6" t="s">
        <v>0</v>
      </c>
      <c r="B6">
        <v>6</v>
      </c>
      <c r="C6">
        <v>11.008014849254064</v>
      </c>
      <c r="D6">
        <v>1.3501131325821732E-2</v>
      </c>
      <c r="F6" s="1">
        <v>13</v>
      </c>
      <c r="G6" s="4">
        <v>0.92558525502681732</v>
      </c>
      <c r="H6" s="4">
        <v>32.544040679931641</v>
      </c>
      <c r="I6" s="4">
        <v>28.234124183654785</v>
      </c>
      <c r="J6" s="1">
        <v>13</v>
      </c>
      <c r="K6">
        <f>H6-G6</f>
        <v>31.618455424904823</v>
      </c>
      <c r="L6">
        <f>I6-G6</f>
        <v>27.308538928627968</v>
      </c>
      <c r="M6">
        <f>IntSortCleaned[[#This Row],[A.Mean]]/IntSortCleaned[[#This Row],[N.Mean]]</f>
        <v>1.1578230350419334</v>
      </c>
    </row>
    <row r="7" spans="1:13" x14ac:dyDescent="0.3">
      <c r="A7" t="s">
        <v>1</v>
      </c>
      <c r="B7">
        <v>6</v>
      </c>
      <c r="C7">
        <v>17.772901852925617</v>
      </c>
      <c r="D7">
        <v>2.3579041324934571E-2</v>
      </c>
      <c r="F7" s="1">
        <v>16</v>
      </c>
      <c r="G7" s="4">
        <v>0.92157689233620965</v>
      </c>
      <c r="H7" s="4">
        <v>47.89933519704001</v>
      </c>
      <c r="I7" s="4">
        <v>28.108805020650227</v>
      </c>
      <c r="J7" s="1">
        <v>16</v>
      </c>
      <c r="K7">
        <f>H7-G7</f>
        <v>46.977758304703798</v>
      </c>
      <c r="L7">
        <f>I7-G7</f>
        <v>27.187228128314018</v>
      </c>
      <c r="M7">
        <f>IntSortCleaned[[#This Row],[A.Mean]]/IntSortCleaned[[#This Row],[N.Mean]]</f>
        <v>1.7279348259773133</v>
      </c>
    </row>
    <row r="8" spans="1:13" x14ac:dyDescent="0.3">
      <c r="A8" t="s">
        <v>2</v>
      </c>
      <c r="B8">
        <v>8</v>
      </c>
      <c r="C8">
        <v>0.78946205476919806</v>
      </c>
      <c r="D8">
        <v>2.840253965775732E-3</v>
      </c>
      <c r="F8" s="1">
        <v>27</v>
      </c>
      <c r="G8" s="4">
        <v>1.4218166222174962</v>
      </c>
      <c r="H8" s="4">
        <v>73.896238803863525</v>
      </c>
      <c r="I8" s="4">
        <v>102.94586499532063</v>
      </c>
      <c r="J8" s="1">
        <v>27</v>
      </c>
      <c r="K8">
        <f>H8-G8</f>
        <v>72.474422181646034</v>
      </c>
      <c r="L8">
        <f>I8-G8</f>
        <v>101.52404837310314</v>
      </c>
      <c r="M8">
        <f>IntSortCleaned[[#This Row],[A.Mean]]/IntSortCleaned[[#This Row],[N.Mean]]</f>
        <v>0.71386458029432509</v>
      </c>
    </row>
    <row r="9" spans="1:13" x14ac:dyDescent="0.3">
      <c r="A9" t="s">
        <v>0</v>
      </c>
      <c r="B9">
        <v>8</v>
      </c>
      <c r="C9">
        <v>15.687290728092194</v>
      </c>
      <c r="D9">
        <v>2.4435694300161629E-2</v>
      </c>
      <c r="F9" s="1">
        <v>32</v>
      </c>
      <c r="G9" s="4">
        <v>1.6287070761124294</v>
      </c>
      <c r="H9" s="4">
        <v>106.82361523310344</v>
      </c>
      <c r="I9" s="4">
        <v>82.092117071151733</v>
      </c>
      <c r="J9" s="1">
        <v>32</v>
      </c>
      <c r="K9">
        <f>H9-G9</f>
        <v>105.194908156991</v>
      </c>
      <c r="L9">
        <f>I9-G9</f>
        <v>80.463409995039299</v>
      </c>
      <c r="M9">
        <f>IntSortCleaned[[#This Row],[A.Mean]]/IntSortCleaned[[#This Row],[N.Mean]]</f>
        <v>1.3073632867843463</v>
      </c>
    </row>
    <row r="10" spans="1:13" x14ac:dyDescent="0.3">
      <c r="A10" t="s">
        <v>1</v>
      </c>
      <c r="B10">
        <v>8</v>
      </c>
      <c r="C10">
        <v>17.498717904090881</v>
      </c>
      <c r="D10">
        <v>1.7414029803816129E-2</v>
      </c>
      <c r="F10" s="1">
        <v>47</v>
      </c>
      <c r="G10" s="4">
        <v>1.8320171038309734</v>
      </c>
      <c r="H10" s="4">
        <v>151.15697940190634</v>
      </c>
      <c r="I10" s="4">
        <v>144.64070456368583</v>
      </c>
      <c r="J10" s="1">
        <v>47</v>
      </c>
      <c r="K10">
        <f>H10-G10</f>
        <v>149.32496229807538</v>
      </c>
      <c r="L10">
        <f>I10-G10</f>
        <v>142.80868745985487</v>
      </c>
      <c r="M10">
        <f>IntSortCleaned[[#This Row],[A.Mean]]/IntSortCleaned[[#This Row],[N.Mean]]</f>
        <v>1.0456294008027509</v>
      </c>
    </row>
    <row r="11" spans="1:13" x14ac:dyDescent="0.3">
      <c r="A11" t="s">
        <v>2</v>
      </c>
      <c r="B11">
        <v>13</v>
      </c>
      <c r="C11">
        <v>0.92558525502681732</v>
      </c>
      <c r="D11">
        <v>2.4076768721356082E-3</v>
      </c>
      <c r="F11" s="1">
        <v>64</v>
      </c>
      <c r="G11" s="4">
        <v>2.2185688962539039</v>
      </c>
      <c r="H11" s="4">
        <v>238.19814682006836</v>
      </c>
      <c r="I11" s="4">
        <v>154.29542700449625</v>
      </c>
      <c r="J11" s="1">
        <v>64</v>
      </c>
      <c r="K11">
        <f>H11-G11</f>
        <v>235.97957792381445</v>
      </c>
      <c r="L11">
        <f>I11-G11</f>
        <v>152.07685810824233</v>
      </c>
      <c r="M11">
        <f>IntSortCleaned[[#This Row],[A.Mean]]/IntSortCleaned[[#This Row],[N.Mean]]</f>
        <v>1.5517126067652809</v>
      </c>
    </row>
    <row r="12" spans="1:13" x14ac:dyDescent="0.3">
      <c r="A12" t="s">
        <v>0</v>
      </c>
      <c r="B12">
        <v>13</v>
      </c>
      <c r="C12">
        <v>32.544040679931641</v>
      </c>
      <c r="D12">
        <v>3.3906292286850985E-2</v>
      </c>
      <c r="F12" s="1">
        <v>101</v>
      </c>
      <c r="G12" s="4">
        <v>2.9162404792649403</v>
      </c>
      <c r="H12" s="4">
        <v>377.45688642774309</v>
      </c>
      <c r="I12" s="4">
        <v>312.05631573994953</v>
      </c>
      <c r="J12" s="1">
        <v>101</v>
      </c>
      <c r="K12">
        <f>H12-G12</f>
        <v>374.54064594847813</v>
      </c>
      <c r="L12">
        <f>I12-G12</f>
        <v>309.14007526068457</v>
      </c>
      <c r="M12">
        <f>IntSortCleaned[[#This Row],[A.Mean]]/IntSortCleaned[[#This Row],[N.Mean]]</f>
        <v>1.2115564299861286</v>
      </c>
    </row>
    <row r="13" spans="1:13" x14ac:dyDescent="0.3">
      <c r="A13" t="s">
        <v>1</v>
      </c>
      <c r="B13">
        <v>13</v>
      </c>
      <c r="C13">
        <v>28.234124183654785</v>
      </c>
      <c r="D13">
        <v>4.2710419482352047E-2</v>
      </c>
      <c r="F13" s="1">
        <v>128</v>
      </c>
      <c r="G13" s="4">
        <v>3.4325291330997763</v>
      </c>
      <c r="H13" s="4">
        <v>534.54373677571618</v>
      </c>
      <c r="I13" s="4">
        <v>338.83888244628906</v>
      </c>
      <c r="J13" s="1">
        <v>128</v>
      </c>
      <c r="K13">
        <f>H13-G13</f>
        <v>531.11120764261636</v>
      </c>
      <c r="L13">
        <f>I13-G13</f>
        <v>335.4063533131893</v>
      </c>
      <c r="M13">
        <f>IntSortCleaned[[#This Row],[A.Mean]]/IntSortCleaned[[#This Row],[N.Mean]]</f>
        <v>1.5834858296398624</v>
      </c>
    </row>
    <row r="14" spans="1:13" x14ac:dyDescent="0.3">
      <c r="A14" t="s">
        <v>2</v>
      </c>
      <c r="B14">
        <v>16</v>
      </c>
      <c r="C14">
        <v>0.92157689233620965</v>
      </c>
      <c r="D14">
        <v>2.5857767511762433E-3</v>
      </c>
      <c r="F14" s="1">
        <v>177</v>
      </c>
      <c r="G14" s="4">
        <v>4.8413080473740893</v>
      </c>
      <c r="H14" s="4">
        <v>766.62420272827148</v>
      </c>
      <c r="I14" s="4">
        <v>565.00774792262484</v>
      </c>
      <c r="J14" s="1">
        <v>177</v>
      </c>
      <c r="K14">
        <f>H14-G14</f>
        <v>761.78289468089736</v>
      </c>
      <c r="L14">
        <f>I14-G14</f>
        <v>560.16643987525072</v>
      </c>
      <c r="M14">
        <f>IntSortCleaned[[#This Row],[A.Mean]]/IntSortCleaned[[#This Row],[N.Mean]]</f>
        <v>1.3599224095798148</v>
      </c>
    </row>
    <row r="15" spans="1:13" x14ac:dyDescent="0.3">
      <c r="A15" t="s">
        <v>0</v>
      </c>
      <c r="B15">
        <v>16</v>
      </c>
      <c r="C15">
        <v>47.89933519704001</v>
      </c>
      <c r="D15">
        <v>5.6308436167359921E-2</v>
      </c>
      <c r="F15" s="1">
        <v>256</v>
      </c>
      <c r="G15" s="4">
        <v>7.2786350051561994</v>
      </c>
      <c r="H15" s="4">
        <v>1246.7985153198242</v>
      </c>
      <c r="I15" s="4">
        <v>797.09530512491858</v>
      </c>
      <c r="J15" s="1">
        <v>256</v>
      </c>
      <c r="K15">
        <f>H15-G15</f>
        <v>1239.5198803146679</v>
      </c>
      <c r="L15">
        <f>I15-G15</f>
        <v>789.81667011976242</v>
      </c>
      <c r="M15">
        <f>IntSortCleaned[[#This Row],[A.Mean]]/IntSortCleaned[[#This Row],[N.Mean]]</f>
        <v>1.5693767012118338</v>
      </c>
    </row>
    <row r="16" spans="1:13" x14ac:dyDescent="0.3">
      <c r="A16" t="s">
        <v>1</v>
      </c>
      <c r="B16">
        <v>16</v>
      </c>
      <c r="C16">
        <v>28.108805020650227</v>
      </c>
      <c r="D16">
        <v>1.1806300094827788E-2</v>
      </c>
      <c r="F16" s="1">
        <v>365</v>
      </c>
      <c r="G16" s="4">
        <v>10.750917345285416</v>
      </c>
      <c r="H16" s="4">
        <v>1536.2626139322917</v>
      </c>
      <c r="I16" s="4">
        <v>1334.5296986897786</v>
      </c>
      <c r="J16" s="1">
        <v>365</v>
      </c>
      <c r="K16">
        <f>H16-G16</f>
        <v>1525.5116965870063</v>
      </c>
      <c r="L16">
        <f>I16-G16</f>
        <v>1323.7787813444932</v>
      </c>
      <c r="M16">
        <f>IntSortCleaned[[#This Row],[A.Mean]]/IntSortCleaned[[#This Row],[N.Mean]]</f>
        <v>1.1523917123355185</v>
      </c>
    </row>
    <row r="17" spans="1:13" x14ac:dyDescent="0.3">
      <c r="A17" t="s">
        <v>2</v>
      </c>
      <c r="B17">
        <v>27</v>
      </c>
      <c r="C17">
        <v>1.4218166222174962</v>
      </c>
      <c r="D17">
        <v>2.2583339998591607E-3</v>
      </c>
      <c r="F17" s="1">
        <v>512</v>
      </c>
      <c r="G17" s="4">
        <v>13.152679999669393</v>
      </c>
      <c r="H17" s="4">
        <v>2467.547810872396</v>
      </c>
      <c r="I17" s="4">
        <v>1955.4611460367839</v>
      </c>
      <c r="J17" s="1">
        <v>512</v>
      </c>
      <c r="K17">
        <f>H17-G17</f>
        <v>2454.3951308727264</v>
      </c>
      <c r="L17">
        <f>I17-G17</f>
        <v>1942.3084660371146</v>
      </c>
      <c r="M17">
        <f>IntSortCleaned[[#This Row],[A.Mean]]/IntSortCleaned[[#This Row],[N.Mean]]</f>
        <v>1.2636484748894805</v>
      </c>
    </row>
    <row r="18" spans="1:13" x14ac:dyDescent="0.3">
      <c r="A18" t="s">
        <v>0</v>
      </c>
      <c r="B18">
        <v>27</v>
      </c>
      <c r="C18">
        <v>73.896238803863525</v>
      </c>
      <c r="D18">
        <v>0.12010673493301273</v>
      </c>
      <c r="F18" s="1">
        <v>748</v>
      </c>
      <c r="G18" s="4">
        <v>18.554261525472004</v>
      </c>
      <c r="H18" s="4">
        <v>4066.186726888021</v>
      </c>
      <c r="I18" s="4">
        <v>3061.0743386404856</v>
      </c>
      <c r="J18" s="1">
        <v>748</v>
      </c>
      <c r="K18">
        <f>H18-G18</f>
        <v>4047.6324653625488</v>
      </c>
      <c r="L18">
        <f>I18-G18</f>
        <v>3042.5200771150135</v>
      </c>
      <c r="M18">
        <f>IntSortCleaned[[#This Row],[A.Mean]]/IntSortCleaned[[#This Row],[N.Mean]]</f>
        <v>1.3303552196114365</v>
      </c>
    </row>
    <row r="19" spans="1:13" x14ac:dyDescent="0.3">
      <c r="A19" t="s">
        <v>1</v>
      </c>
      <c r="B19">
        <v>27</v>
      </c>
      <c r="C19">
        <v>102.94586499532063</v>
      </c>
      <c r="D19">
        <v>7.0346541366544155E-2</v>
      </c>
      <c r="F19" s="1">
        <v>1024</v>
      </c>
      <c r="G19" s="4">
        <v>25.13560950756073</v>
      </c>
      <c r="H19" s="4">
        <v>6232.1669514973955</v>
      </c>
      <c r="I19" s="4">
        <v>4509.0382893880205</v>
      </c>
      <c r="J19" s="1">
        <v>1024</v>
      </c>
      <c r="K19">
        <f>H19-G19</f>
        <v>6207.0313419898348</v>
      </c>
      <c r="L19">
        <f>I19-G19</f>
        <v>4483.9026798804598</v>
      </c>
      <c r="M19">
        <f>IntSortCleaned[[#This Row],[A.Mean]]/IntSortCleaned[[#This Row],[N.Mean]]</f>
        <v>1.384292163574637</v>
      </c>
    </row>
    <row r="20" spans="1:13" x14ac:dyDescent="0.3">
      <c r="A20" t="s">
        <v>2</v>
      </c>
      <c r="B20">
        <v>32</v>
      </c>
      <c r="C20">
        <v>1.6287070761124294</v>
      </c>
      <c r="D20">
        <v>3.682011397093835E-3</v>
      </c>
      <c r="F20" s="1">
        <v>1537</v>
      </c>
      <c r="G20" s="4">
        <v>33.838273684183754</v>
      </c>
      <c r="H20" s="4">
        <v>9733.2043239048544</v>
      </c>
      <c r="I20" s="4">
        <v>7242.8621927897138</v>
      </c>
      <c r="J20" s="1">
        <v>1537</v>
      </c>
      <c r="K20">
        <f>H20-G20</f>
        <v>9699.3660502206712</v>
      </c>
      <c r="L20">
        <f>I20-G20</f>
        <v>7209.0239191055298</v>
      </c>
      <c r="M20">
        <f>IntSortCleaned[[#This Row],[A.Mean]]/IntSortCleaned[[#This Row],[N.Mean]]</f>
        <v>1.3454478940644345</v>
      </c>
    </row>
    <row r="21" spans="1:13" x14ac:dyDescent="0.3">
      <c r="A21" t="s">
        <v>0</v>
      </c>
      <c r="B21">
        <v>32</v>
      </c>
      <c r="C21">
        <v>106.82361523310344</v>
      </c>
      <c r="D21">
        <v>0.11368557359584337</v>
      </c>
      <c r="F21" s="1">
        <v>2048</v>
      </c>
      <c r="G21" s="4">
        <v>46.936845779418945</v>
      </c>
      <c r="H21" s="4">
        <v>24353.967895507813</v>
      </c>
      <c r="I21" s="4">
        <v>10405.970458984375</v>
      </c>
      <c r="J21" s="1">
        <v>2048</v>
      </c>
      <c r="K21">
        <f>H21-G21</f>
        <v>24307.031049728394</v>
      </c>
      <c r="L21">
        <f>I21-G21</f>
        <v>10359.033613204956</v>
      </c>
      <c r="M21">
        <f>IntSortCleaned[[#This Row],[A.Mean]]/IntSortCleaned[[#This Row],[N.Mean]]</f>
        <v>2.3464573972173937</v>
      </c>
    </row>
    <row r="22" spans="1:13" x14ac:dyDescent="0.3">
      <c r="A22" t="s">
        <v>1</v>
      </c>
      <c r="B22">
        <v>32</v>
      </c>
      <c r="C22">
        <v>82.092117071151733</v>
      </c>
      <c r="D22">
        <v>8.5237155087135349E-2</v>
      </c>
      <c r="F22" s="1">
        <v>3389</v>
      </c>
      <c r="G22" s="4">
        <v>86.587580809226409</v>
      </c>
      <c r="H22" s="4">
        <v>72866.314290364578</v>
      </c>
      <c r="I22" s="4">
        <v>18470.626017252605</v>
      </c>
      <c r="J22" s="1">
        <v>3389</v>
      </c>
      <c r="K22">
        <f>H22-G22</f>
        <v>72779.726709555354</v>
      </c>
      <c r="L22">
        <f>I22-G22</f>
        <v>18384.038436443378</v>
      </c>
      <c r="M22">
        <f>IntSortCleaned[[#This Row],[A.Mean]]/IntSortCleaned[[#This Row],[N.Mean]]</f>
        <v>3.9588541419322394</v>
      </c>
    </row>
    <row r="23" spans="1:13" x14ac:dyDescent="0.3">
      <c r="A23" t="s">
        <v>2</v>
      </c>
      <c r="B23">
        <v>47</v>
      </c>
      <c r="C23">
        <v>1.8320171038309734</v>
      </c>
      <c r="D23">
        <v>3.9463378819567059E-3</v>
      </c>
      <c r="F23" s="1">
        <v>4096</v>
      </c>
      <c r="G23" s="4">
        <v>103.94646286964417</v>
      </c>
      <c r="H23" s="4">
        <v>111929.92788461539</v>
      </c>
      <c r="I23" s="4">
        <v>23764.08408028739</v>
      </c>
      <c r="J23" s="1">
        <v>4096</v>
      </c>
      <c r="K23">
        <f>H23-G23</f>
        <v>111825.98142174575</v>
      </c>
      <c r="L23">
        <f>I23-G23</f>
        <v>23660.137617417746</v>
      </c>
      <c r="M23">
        <f>IntSortCleaned[[#This Row],[A.Mean]]/IntSortCleaned[[#This Row],[N.Mean]]</f>
        <v>4.7263453505622666</v>
      </c>
    </row>
    <row r="24" spans="1:13" x14ac:dyDescent="0.3">
      <c r="A24" t="s">
        <v>0</v>
      </c>
      <c r="B24">
        <v>47</v>
      </c>
      <c r="C24">
        <v>151.15697940190634</v>
      </c>
      <c r="D24">
        <v>9.235614065469934E-2</v>
      </c>
      <c r="F24" s="1">
        <v>6793</v>
      </c>
      <c r="G24" s="4">
        <v>353.45462285555328</v>
      </c>
      <c r="H24" s="4">
        <v>212606.8798828125</v>
      </c>
      <c r="I24" s="4">
        <v>41405.132242838539</v>
      </c>
      <c r="J24" s="1">
        <v>6793</v>
      </c>
      <c r="K24">
        <f>H24-G24</f>
        <v>212253.42525995694</v>
      </c>
      <c r="L24">
        <f>I24-G24</f>
        <v>41051.677619982984</v>
      </c>
      <c r="M24">
        <f>IntSortCleaned[[#This Row],[A.Mean]]/IntSortCleaned[[#This Row],[N.Mean]]</f>
        <v>5.1703958903895568</v>
      </c>
    </row>
    <row r="25" spans="1:13" x14ac:dyDescent="0.3">
      <c r="A25" t="s">
        <v>1</v>
      </c>
      <c r="B25">
        <v>47</v>
      </c>
      <c r="C25">
        <v>144.64070456368583</v>
      </c>
      <c r="D25">
        <v>0.17870124612443863</v>
      </c>
      <c r="F25" s="1">
        <v>8192</v>
      </c>
      <c r="G25" s="4">
        <v>515.88355382283532</v>
      </c>
      <c r="H25" s="4">
        <v>263261.19907924108</v>
      </c>
      <c r="I25" s="4">
        <v>55087.11735652043</v>
      </c>
      <c r="J25" s="1">
        <v>8192</v>
      </c>
      <c r="K25">
        <f>H25-G25</f>
        <v>262745.31552541826</v>
      </c>
      <c r="L25">
        <f>I25-G25</f>
        <v>54571.233802697592</v>
      </c>
      <c r="M25">
        <f>IntSortCleaned[[#This Row],[A.Mean]]/IntSortCleaned[[#This Row],[N.Mean]]</f>
        <v>4.8147219187928663</v>
      </c>
    </row>
    <row r="26" spans="1:13" x14ac:dyDescent="0.3">
      <c r="A26" t="s">
        <v>2</v>
      </c>
      <c r="B26">
        <v>64</v>
      </c>
      <c r="C26">
        <v>2.2185688962539039</v>
      </c>
      <c r="D26">
        <v>2.0096989459468554E-3</v>
      </c>
      <c r="F26" s="1">
        <v>14289</v>
      </c>
      <c r="G26" s="4">
        <v>894.01930491129554</v>
      </c>
      <c r="H26" s="4">
        <v>495621.83430989581</v>
      </c>
      <c r="I26" s="4">
        <v>88223.318684895828</v>
      </c>
      <c r="J26" s="1">
        <v>14289</v>
      </c>
      <c r="K26">
        <f>H26-G26</f>
        <v>494727.8150049845</v>
      </c>
      <c r="L26">
        <f>I26-G26</f>
        <v>87329.299379984528</v>
      </c>
      <c r="M26">
        <f>IntSortCleaned[[#This Row],[A.Mean]]/IntSortCleaned[[#This Row],[N.Mean]]</f>
        <v>5.6650839811772702</v>
      </c>
    </row>
    <row r="27" spans="1:13" x14ac:dyDescent="0.3">
      <c r="A27" t="s">
        <v>0</v>
      </c>
      <c r="B27">
        <v>64</v>
      </c>
      <c r="C27">
        <v>238.19814682006836</v>
      </c>
      <c r="D27">
        <v>0.53495834678904364</v>
      </c>
      <c r="F27" s="1">
        <v>16384</v>
      </c>
      <c r="G27" s="4">
        <v>1034.0834426879883</v>
      </c>
      <c r="H27" s="4">
        <v>582008.42447916663</v>
      </c>
      <c r="I27" s="4">
        <v>110331.14972795759</v>
      </c>
      <c r="J27" s="1">
        <v>16384</v>
      </c>
      <c r="K27">
        <f>H27-G27</f>
        <v>580974.34103647864</v>
      </c>
      <c r="L27">
        <f>I27-G27</f>
        <v>109297.0662852696</v>
      </c>
      <c r="M27">
        <f>IntSortCleaned[[#This Row],[A.Mean]]/IntSortCleaned[[#This Row],[N.Mean]]</f>
        <v>5.3155529309461338</v>
      </c>
    </row>
    <row r="28" spans="1:13" x14ac:dyDescent="0.3">
      <c r="A28" t="s">
        <v>1</v>
      </c>
      <c r="B28">
        <v>64</v>
      </c>
      <c r="C28">
        <v>154.29542700449625</v>
      </c>
      <c r="D28">
        <v>0.23647781455991043</v>
      </c>
      <c r="F28" s="1">
        <v>23124</v>
      </c>
      <c r="G28" s="4">
        <v>1528.2964579264324</v>
      </c>
      <c r="H28" s="4">
        <v>850862.80924479163</v>
      </c>
      <c r="I28" s="4">
        <v>208095.41666666666</v>
      </c>
      <c r="J28" s="1">
        <v>23124</v>
      </c>
      <c r="K28">
        <f>H28-G28</f>
        <v>849334.51278686523</v>
      </c>
      <c r="L28">
        <f>I28-G28</f>
        <v>206567.12020874023</v>
      </c>
      <c r="M28">
        <f>IntSortCleaned[[#This Row],[A.Mean]]/IntSortCleaned[[#This Row],[N.Mean]]</f>
        <v>4.1116636177557959</v>
      </c>
    </row>
    <row r="29" spans="1:13" x14ac:dyDescent="0.3">
      <c r="A29" t="s">
        <v>2</v>
      </c>
      <c r="B29">
        <v>101</v>
      </c>
      <c r="C29">
        <v>2.9162404792649403</v>
      </c>
      <c r="D29">
        <v>2.7214830684503398E-3</v>
      </c>
      <c r="F29" s="1">
        <v>32768</v>
      </c>
      <c r="G29" s="4">
        <v>2190.1632690429688</v>
      </c>
      <c r="H29" s="4">
        <v>1301744.740513393</v>
      </c>
      <c r="I29" s="4">
        <v>328109.833984375</v>
      </c>
      <c r="J29" s="1">
        <v>32768</v>
      </c>
      <c r="K29">
        <f>H29-G29</f>
        <v>1299554.57724435</v>
      </c>
      <c r="L29">
        <f>I29-G29</f>
        <v>325919.67071533203</v>
      </c>
      <c r="M29">
        <f>IntSortCleaned[[#This Row],[A.Mean]]/IntSortCleaned[[#This Row],[N.Mean]]</f>
        <v>3.9873462512774189</v>
      </c>
    </row>
    <row r="30" spans="1:13" x14ac:dyDescent="0.3">
      <c r="A30" t="s">
        <v>0</v>
      </c>
      <c r="B30">
        <v>101</v>
      </c>
      <c r="C30">
        <v>377.45688642774309</v>
      </c>
      <c r="D30">
        <v>0.42910295067176923</v>
      </c>
      <c r="F30" s="1">
        <v>53151</v>
      </c>
      <c r="G30" s="4">
        <v>3478.5106658935547</v>
      </c>
      <c r="H30" s="4">
        <v>2267192.96875</v>
      </c>
      <c r="I30" s="4">
        <v>565038.38216145837</v>
      </c>
      <c r="J30" s="1">
        <v>53151</v>
      </c>
      <c r="K30">
        <f>H30-G30</f>
        <v>2263714.4580841064</v>
      </c>
      <c r="L30">
        <f>I30-G30</f>
        <v>561559.87149556482</v>
      </c>
      <c r="M30">
        <f>IntSortCleaned[[#This Row],[A.Mean]]/IntSortCleaned[[#This Row],[N.Mean]]</f>
        <v>4.0311186268621855</v>
      </c>
    </row>
    <row r="31" spans="1:13" x14ac:dyDescent="0.3">
      <c r="A31" t="s">
        <v>1</v>
      </c>
      <c r="B31">
        <v>101</v>
      </c>
      <c r="C31">
        <v>312.05631573994953</v>
      </c>
      <c r="D31">
        <v>0.39183390535662527</v>
      </c>
      <c r="F31" s="1">
        <v>65536</v>
      </c>
      <c r="G31" s="4">
        <v>14294.617818196615</v>
      </c>
      <c r="H31" s="4">
        <v>2755987.3697916665</v>
      </c>
      <c r="I31" s="4">
        <v>739313.20963541663</v>
      </c>
      <c r="J31" s="1">
        <v>65536</v>
      </c>
      <c r="K31">
        <f>H31-G31</f>
        <v>2741692.7519734697</v>
      </c>
      <c r="L31">
        <f>I31-G31</f>
        <v>725018.59181721997</v>
      </c>
      <c r="M31">
        <f>IntSortCleaned[[#This Row],[A.Mean]]/IntSortCleaned[[#This Row],[N.Mean]]</f>
        <v>3.7815482015455144</v>
      </c>
    </row>
    <row r="32" spans="1:13" x14ac:dyDescent="0.3">
      <c r="A32" t="s">
        <v>2</v>
      </c>
      <c r="B32">
        <v>128</v>
      </c>
      <c r="C32">
        <v>3.4325291330997763</v>
      </c>
      <c r="D32">
        <v>3.641638237263628E-3</v>
      </c>
      <c r="F32" s="1">
        <v>96317</v>
      </c>
      <c r="G32" s="4">
        <v>19751.958821614582</v>
      </c>
      <c r="H32" s="4">
        <v>4091273.8020833335</v>
      </c>
      <c r="I32" s="4">
        <v>1115894.2057291667</v>
      </c>
      <c r="J32" s="1">
        <v>96317</v>
      </c>
      <c r="K32">
        <f>H32-G32</f>
        <v>4071521.8432617188</v>
      </c>
      <c r="L32">
        <f>I32-G32</f>
        <v>1096142.2469075522</v>
      </c>
      <c r="M32">
        <f>IntSortCleaned[[#This Row],[A.Mean]]/IntSortCleaned[[#This Row],[N.Mean]]</f>
        <v>3.7144101094071851</v>
      </c>
    </row>
    <row r="33" spans="1:15" x14ac:dyDescent="0.3">
      <c r="A33" t="s">
        <v>0</v>
      </c>
      <c r="B33">
        <v>128</v>
      </c>
      <c r="C33">
        <v>534.54373677571618</v>
      </c>
      <c r="D33">
        <v>0.79991792753630153</v>
      </c>
      <c r="F33" s="1">
        <v>131072</v>
      </c>
      <c r="G33" s="4">
        <v>31977.608642578125</v>
      </c>
      <c r="H33" s="4">
        <v>5827653.4598214282</v>
      </c>
      <c r="I33" s="4">
        <v>1651848.8411458333</v>
      </c>
      <c r="J33" s="1">
        <v>131072</v>
      </c>
      <c r="K33">
        <f>H33-G33</f>
        <v>5795675.85117885</v>
      </c>
      <c r="L33">
        <f>I33-G33</f>
        <v>1619871.2325032551</v>
      </c>
      <c r="M33">
        <f>IntSortCleaned[[#This Row],[A.Mean]]/IntSortCleaned[[#This Row],[N.Mean]]</f>
        <v>3.5778620762482141</v>
      </c>
    </row>
    <row r="34" spans="1:15" x14ac:dyDescent="0.3">
      <c r="A34" t="s">
        <v>1</v>
      </c>
      <c r="B34">
        <v>128</v>
      </c>
      <c r="C34">
        <v>338.83888244628906</v>
      </c>
      <c r="D34">
        <v>0.31575490510242132</v>
      </c>
      <c r="F34" s="1">
        <v>191217</v>
      </c>
      <c r="G34" s="4">
        <v>48031.68522761418</v>
      </c>
      <c r="H34" s="4">
        <v>8972609.6875</v>
      </c>
      <c r="I34" s="4">
        <v>2990329.7916666665</v>
      </c>
      <c r="J34" s="1">
        <v>191217</v>
      </c>
      <c r="K34">
        <f>H34-G34</f>
        <v>8924578.0022723861</v>
      </c>
      <c r="L34">
        <f>I34-G34</f>
        <v>2942298.1064390521</v>
      </c>
      <c r="M34">
        <f>IntSortCleaned[[#This Row],[A.Mean]]/IntSortCleaned[[#This Row],[N.Mean]]</f>
        <v>3.0331997912588986</v>
      </c>
    </row>
    <row r="35" spans="1:15" x14ac:dyDescent="0.3">
      <c r="A35" t="s">
        <v>2</v>
      </c>
      <c r="B35">
        <v>177</v>
      </c>
      <c r="C35">
        <v>4.8413080473740893</v>
      </c>
      <c r="D35">
        <v>4.6745324560884018E-3</v>
      </c>
      <c r="F35" s="1">
        <v>262144</v>
      </c>
      <c r="G35" s="4">
        <v>62086.285807291664</v>
      </c>
      <c r="H35" s="4">
        <v>12517338.504464285</v>
      </c>
      <c r="I35" s="4">
        <v>3689537.199519231</v>
      </c>
      <c r="J35" s="1">
        <v>262144</v>
      </c>
      <c r="K35">
        <f>H35-G35</f>
        <v>12455252.218656994</v>
      </c>
      <c r="L35">
        <f>I35-G35</f>
        <v>3627450.9137119395</v>
      </c>
      <c r="M35">
        <f>IntSortCleaned[[#This Row],[A.Mean]]/IntSortCleaned[[#This Row],[N.Mean]]</f>
        <v>3.4336101342062384</v>
      </c>
    </row>
    <row r="36" spans="1:15" x14ac:dyDescent="0.3">
      <c r="A36" t="s">
        <v>0</v>
      </c>
      <c r="B36">
        <v>177</v>
      </c>
      <c r="C36">
        <v>766.62420272827148</v>
      </c>
      <c r="D36">
        <v>1.0872736694017628</v>
      </c>
      <c r="F36" s="1">
        <v>398853</v>
      </c>
      <c r="G36" s="4">
        <v>60126.053059895836</v>
      </c>
      <c r="H36" s="4">
        <v>19774671.875</v>
      </c>
      <c r="I36" s="4">
        <v>11731967.083333334</v>
      </c>
      <c r="J36" s="1">
        <v>398853</v>
      </c>
      <c r="K36">
        <f>H36-G36</f>
        <v>19714545.821940105</v>
      </c>
      <c r="L36">
        <f>I36-G36</f>
        <v>11671841.030273438</v>
      </c>
      <c r="M36">
        <f>IntSortCleaned[[#This Row],[A.Mean]]/IntSortCleaned[[#This Row],[N.Mean]]</f>
        <v>1.6890690826585264</v>
      </c>
    </row>
    <row r="37" spans="1:15" x14ac:dyDescent="0.3">
      <c r="A37" t="s">
        <v>1</v>
      </c>
      <c r="B37">
        <v>177</v>
      </c>
      <c r="C37">
        <v>565.00774792262484</v>
      </c>
      <c r="D37">
        <v>0.542920095027839</v>
      </c>
      <c r="F37" s="1">
        <v>524288</v>
      </c>
      <c r="G37" s="4">
        <v>72017.23876953125</v>
      </c>
      <c r="H37" s="4">
        <v>26317152.916666668</v>
      </c>
      <c r="I37" s="4">
        <v>20323915.856481481</v>
      </c>
      <c r="J37" s="1">
        <v>524288</v>
      </c>
      <c r="K37">
        <f>H37-G37</f>
        <v>26245135.677897137</v>
      </c>
      <c r="L37">
        <f>I37-G37</f>
        <v>20251898.61771195</v>
      </c>
      <c r="M37">
        <f>IntSortCleaned[[#This Row],[A.Mean]]/IntSortCleaned[[#This Row],[N.Mean]]</f>
        <v>1.2959345774594984</v>
      </c>
    </row>
    <row r="38" spans="1:15" x14ac:dyDescent="0.3">
      <c r="A38" t="s">
        <v>2</v>
      </c>
      <c r="B38">
        <v>256</v>
      </c>
      <c r="C38">
        <v>7.2786350051561994</v>
      </c>
      <c r="D38">
        <v>6.7116069366005403E-3</v>
      </c>
      <c r="F38" s="1">
        <v>719289</v>
      </c>
      <c r="G38" s="4">
        <v>106041.3423426011</v>
      </c>
      <c r="H38" s="4">
        <v>37156033.809523813</v>
      </c>
      <c r="I38" s="4">
        <v>29014208.866279069</v>
      </c>
      <c r="J38" s="1">
        <v>719289</v>
      </c>
      <c r="K38">
        <f>H38-G38</f>
        <v>37049992.467181213</v>
      </c>
      <c r="L38">
        <f>I38-G38</f>
        <v>28908167.523936469</v>
      </c>
      <c r="M38">
        <f>IntSortCleaned[[#This Row],[A.Mean]]/IntSortCleaned[[#This Row],[N.Mean]]</f>
        <v>1.2816444500158362</v>
      </c>
    </row>
    <row r="39" spans="1:15" x14ac:dyDescent="0.3">
      <c r="A39" t="s">
        <v>0</v>
      </c>
      <c r="B39">
        <v>256</v>
      </c>
      <c r="C39">
        <v>1246.7985153198242</v>
      </c>
      <c r="D39">
        <v>1.9477582840148002</v>
      </c>
      <c r="F39" s="1">
        <v>1048576</v>
      </c>
      <c r="G39" s="4">
        <v>153388.88784555288</v>
      </c>
      <c r="H39" s="4">
        <v>55960775.555555552</v>
      </c>
      <c r="I39" s="4">
        <v>49148748.775510207</v>
      </c>
      <c r="J39" s="1">
        <v>1048576</v>
      </c>
      <c r="K39">
        <f>H39-G39</f>
        <v>55807386.667709999</v>
      </c>
      <c r="L39">
        <f>I39-G39</f>
        <v>48995359.887664653</v>
      </c>
      <c r="M39">
        <f>IntSortCleaned[[#This Row],[A.Mean]]/IntSortCleaned[[#This Row],[N.Mean]]</f>
        <v>1.139034120693547</v>
      </c>
    </row>
    <row r="40" spans="1:15" x14ac:dyDescent="0.3">
      <c r="A40" t="s">
        <v>1</v>
      </c>
      <c r="B40">
        <v>256</v>
      </c>
      <c r="C40">
        <v>797.09530512491858</v>
      </c>
      <c r="D40">
        <v>0.88491459550042684</v>
      </c>
    </row>
    <row r="41" spans="1:15" x14ac:dyDescent="0.3">
      <c r="A41" t="s">
        <v>2</v>
      </c>
      <c r="B41">
        <v>365</v>
      </c>
      <c r="C41">
        <v>10.750917345285416</v>
      </c>
      <c r="D41">
        <v>1.4615303543521545E-2</v>
      </c>
    </row>
    <row r="42" spans="1:15" x14ac:dyDescent="0.3">
      <c r="A42" t="s">
        <v>0</v>
      </c>
      <c r="B42">
        <v>365</v>
      </c>
      <c r="C42">
        <v>1536.2626139322917</v>
      </c>
      <c r="D42">
        <v>1.2352636671563446</v>
      </c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">
      <c r="A43" t="s">
        <v>1</v>
      </c>
      <c r="B43">
        <v>365</v>
      </c>
      <c r="C43">
        <v>1334.5296986897786</v>
      </c>
      <c r="D43">
        <v>2.3591155393235708</v>
      </c>
      <c r="F43" s="3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">
      <c r="A44" t="s">
        <v>2</v>
      </c>
      <c r="B44">
        <v>512</v>
      </c>
      <c r="C44">
        <v>13.152679999669393</v>
      </c>
      <c r="D44">
        <v>1.9296039792367943E-2</v>
      </c>
      <c r="F44" s="3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">
      <c r="A45" t="s">
        <v>0</v>
      </c>
      <c r="B45">
        <v>512</v>
      </c>
      <c r="C45">
        <v>2467.547810872396</v>
      </c>
      <c r="D45">
        <v>2.9495135730570521</v>
      </c>
      <c r="F45" s="3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">
      <c r="A46" t="s">
        <v>1</v>
      </c>
      <c r="B46">
        <v>512</v>
      </c>
      <c r="C46">
        <v>1955.4611460367839</v>
      </c>
      <c r="D46">
        <v>3.2352537871977898</v>
      </c>
      <c r="F46" s="3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">
      <c r="A47" t="s">
        <v>2</v>
      </c>
      <c r="B47">
        <v>748</v>
      </c>
      <c r="C47">
        <v>18.554261525472004</v>
      </c>
      <c r="D47">
        <v>2.7882856575294861E-2</v>
      </c>
      <c r="F47" s="3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">
      <c r="A48" t="s">
        <v>0</v>
      </c>
      <c r="B48">
        <v>748</v>
      </c>
      <c r="C48">
        <v>4066.186726888021</v>
      </c>
      <c r="D48">
        <v>6.236094437575102</v>
      </c>
      <c r="F48" s="3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">
      <c r="A49" t="s">
        <v>1</v>
      </c>
      <c r="B49">
        <v>748</v>
      </c>
      <c r="C49">
        <v>3061.0743386404856</v>
      </c>
      <c r="D49">
        <v>2.3150604028927848</v>
      </c>
      <c r="F49" s="3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">
      <c r="A50" t="s">
        <v>2</v>
      </c>
      <c r="B50">
        <v>1024</v>
      </c>
      <c r="C50">
        <v>25.13560950756073</v>
      </c>
      <c r="D50">
        <v>2.077655170991909E-2</v>
      </c>
      <c r="F50" s="3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">
      <c r="A51" t="s">
        <v>0</v>
      </c>
      <c r="B51">
        <v>1024</v>
      </c>
      <c r="C51">
        <v>6232.1669514973955</v>
      </c>
      <c r="D51">
        <v>7.0741838201730287</v>
      </c>
      <c r="F51" s="3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">
      <c r="A52" t="s">
        <v>1</v>
      </c>
      <c r="B52">
        <v>1024</v>
      </c>
      <c r="C52">
        <v>4509.0382893880205</v>
      </c>
      <c r="D52">
        <v>4.4075825837257181</v>
      </c>
      <c r="F52" s="3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">
      <c r="A53" t="s">
        <v>2</v>
      </c>
      <c r="B53">
        <v>1537</v>
      </c>
      <c r="C53">
        <v>33.838273684183754</v>
      </c>
      <c r="D53">
        <v>4.2803037234836264E-2</v>
      </c>
      <c r="F53" s="3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t="s">
        <v>0</v>
      </c>
      <c r="B54">
        <v>1537</v>
      </c>
      <c r="C54">
        <v>9733.2043239048544</v>
      </c>
      <c r="D54">
        <v>12.038174427911652</v>
      </c>
      <c r="F54" s="3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">
      <c r="A55" t="s">
        <v>1</v>
      </c>
      <c r="B55">
        <v>1537</v>
      </c>
      <c r="C55">
        <v>7242.8621927897138</v>
      </c>
      <c r="D55">
        <v>5.7424241223142012</v>
      </c>
      <c r="F55" s="3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">
      <c r="A56" t="s">
        <v>2</v>
      </c>
      <c r="B56">
        <v>2048</v>
      </c>
      <c r="C56">
        <v>46.936845779418945</v>
      </c>
      <c r="D56">
        <v>2.4883384511926478E-2</v>
      </c>
      <c r="F56" s="3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">
      <c r="A57" t="s">
        <v>0</v>
      </c>
      <c r="B57">
        <v>2048</v>
      </c>
      <c r="C57">
        <v>24353.967895507813</v>
      </c>
      <c r="D57">
        <v>70.156669680175241</v>
      </c>
      <c r="F57" s="3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">
      <c r="A58" t="s">
        <v>1</v>
      </c>
      <c r="B58">
        <v>2048</v>
      </c>
      <c r="C58">
        <v>10405.970458984375</v>
      </c>
      <c r="D58">
        <v>15.704815967992383</v>
      </c>
      <c r="F58" s="3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">
      <c r="A59" t="s">
        <v>2</v>
      </c>
      <c r="B59">
        <v>3389</v>
      </c>
      <c r="C59">
        <v>86.587580809226409</v>
      </c>
      <c r="D59">
        <v>4.3243624164302011E-2</v>
      </c>
      <c r="F59" s="3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">
      <c r="A60" t="s">
        <v>0</v>
      </c>
      <c r="B60">
        <v>3389</v>
      </c>
      <c r="C60">
        <v>72866.314290364578</v>
      </c>
      <c r="D60">
        <v>83.665491588565132</v>
      </c>
      <c r="F60" s="3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">
      <c r="A61" t="s">
        <v>1</v>
      </c>
      <c r="B61">
        <v>3389</v>
      </c>
      <c r="C61">
        <v>18470.626017252605</v>
      </c>
      <c r="D61">
        <v>19.514963895038452</v>
      </c>
      <c r="F61" s="3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">
      <c r="A62" t="s">
        <v>2</v>
      </c>
      <c r="B62">
        <v>4096</v>
      </c>
      <c r="C62">
        <v>103.94646286964417</v>
      </c>
      <c r="D62">
        <v>0.15295308672336663</v>
      </c>
      <c r="F62" s="3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t="s">
        <v>0</v>
      </c>
      <c r="B63">
        <v>4096</v>
      </c>
      <c r="C63">
        <v>111929.92788461539</v>
      </c>
      <c r="D63">
        <v>139.12867517589646</v>
      </c>
      <c r="F63" s="3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">
      <c r="A64" t="s">
        <v>1</v>
      </c>
      <c r="B64">
        <v>4096</v>
      </c>
      <c r="C64">
        <v>23764.08408028739</v>
      </c>
      <c r="D64">
        <v>22.706331913410285</v>
      </c>
      <c r="F64" s="3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t="s">
        <v>2</v>
      </c>
      <c r="B65">
        <v>6793</v>
      </c>
      <c r="C65">
        <v>353.45462285555328</v>
      </c>
      <c r="D65">
        <v>0.28505845854976031</v>
      </c>
      <c r="F65" s="3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t="s">
        <v>0</v>
      </c>
      <c r="B66">
        <v>6793</v>
      </c>
      <c r="C66">
        <v>212606.8798828125</v>
      </c>
      <c r="D66">
        <v>248.6889139840392</v>
      </c>
      <c r="F66" s="3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t="s">
        <v>1</v>
      </c>
      <c r="B67">
        <v>6793</v>
      </c>
      <c r="C67">
        <v>41405.132242838539</v>
      </c>
      <c r="D67">
        <v>29.026616006042754</v>
      </c>
      <c r="F67" s="3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 t="s">
        <v>2</v>
      </c>
      <c r="B68">
        <v>8192</v>
      </c>
      <c r="C68">
        <v>515.88355382283532</v>
      </c>
      <c r="D68">
        <v>0.41955319155899734</v>
      </c>
      <c r="F68" s="3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 t="s">
        <v>0</v>
      </c>
      <c r="B69">
        <v>8192</v>
      </c>
      <c r="C69">
        <v>263261.19907924108</v>
      </c>
      <c r="D69">
        <v>211.66801245982617</v>
      </c>
      <c r="F69" s="3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 t="s">
        <v>1</v>
      </c>
      <c r="B70">
        <v>8192</v>
      </c>
      <c r="C70">
        <v>55087.11735652043</v>
      </c>
      <c r="D70">
        <v>22.947134332063658</v>
      </c>
      <c r="F70" s="3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 t="s">
        <v>2</v>
      </c>
      <c r="B71">
        <v>14289</v>
      </c>
      <c r="C71">
        <v>894.01930491129554</v>
      </c>
      <c r="D71">
        <v>0.49526609908779262</v>
      </c>
      <c r="F71" s="3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">
      <c r="A72" t="s">
        <v>0</v>
      </c>
      <c r="B72">
        <v>14289</v>
      </c>
      <c r="C72">
        <v>495621.83430989581</v>
      </c>
      <c r="D72">
        <v>633.28459095721814</v>
      </c>
      <c r="F72" s="3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">
      <c r="A73" t="s">
        <v>1</v>
      </c>
      <c r="B73">
        <v>14289</v>
      </c>
      <c r="C73">
        <v>88223.318684895828</v>
      </c>
      <c r="D73">
        <v>87.951168505037586</v>
      </c>
      <c r="F73" s="3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">
      <c r="A74" t="s">
        <v>2</v>
      </c>
      <c r="B74">
        <v>16384</v>
      </c>
      <c r="C74">
        <v>1034.0834426879883</v>
      </c>
      <c r="D74">
        <v>1.0846675113631985</v>
      </c>
      <c r="F74" s="3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">
      <c r="A75" t="s">
        <v>0</v>
      </c>
      <c r="B75">
        <v>16384</v>
      </c>
      <c r="C75">
        <v>582008.42447916663</v>
      </c>
      <c r="D75">
        <v>1003.3955337195217</v>
      </c>
      <c r="F75" s="3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">
      <c r="A76" t="s">
        <v>1</v>
      </c>
      <c r="B76">
        <v>16384</v>
      </c>
      <c r="C76">
        <v>110331.14972795759</v>
      </c>
      <c r="D76">
        <v>160.28349938837098</v>
      </c>
      <c r="F76" s="3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">
      <c r="A77" t="s">
        <v>2</v>
      </c>
      <c r="B77">
        <v>23124</v>
      </c>
      <c r="C77">
        <v>1528.2964579264324</v>
      </c>
      <c r="D77">
        <v>1.2761986064012625</v>
      </c>
      <c r="F77" s="3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">
      <c r="A78" t="s">
        <v>0</v>
      </c>
      <c r="B78">
        <v>23124</v>
      </c>
      <c r="C78">
        <v>850862.80924479163</v>
      </c>
      <c r="D78">
        <v>1026.3222912203964</v>
      </c>
      <c r="F78" s="3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">
      <c r="A79" t="s">
        <v>1</v>
      </c>
      <c r="B79">
        <v>23124</v>
      </c>
      <c r="C79">
        <v>208095.41666666666</v>
      </c>
      <c r="D79">
        <v>179.00967565396579</v>
      </c>
    </row>
    <row r="80" spans="1:15" x14ac:dyDescent="0.3">
      <c r="A80" t="s">
        <v>2</v>
      </c>
      <c r="B80">
        <v>32768</v>
      </c>
      <c r="C80">
        <v>2190.1632690429688</v>
      </c>
      <c r="D80">
        <v>2.8056537028946651</v>
      </c>
    </row>
    <row r="81" spans="1:4" x14ac:dyDescent="0.3">
      <c r="A81" t="s">
        <v>0</v>
      </c>
      <c r="B81">
        <v>32768</v>
      </c>
      <c r="C81">
        <v>1301744.740513393</v>
      </c>
      <c r="D81">
        <v>1047.0620620905165</v>
      </c>
    </row>
    <row r="82" spans="1:4" x14ac:dyDescent="0.3">
      <c r="A82" t="s">
        <v>1</v>
      </c>
      <c r="B82">
        <v>32768</v>
      </c>
      <c r="C82">
        <v>328109.833984375</v>
      </c>
      <c r="D82">
        <v>423.96446353385238</v>
      </c>
    </row>
    <row r="83" spans="1:4" x14ac:dyDescent="0.3">
      <c r="A83" t="s">
        <v>2</v>
      </c>
      <c r="B83">
        <v>53151</v>
      </c>
      <c r="C83">
        <v>3478.5106658935547</v>
      </c>
      <c r="D83">
        <v>5.7795368452020819</v>
      </c>
    </row>
    <row r="84" spans="1:4" x14ac:dyDescent="0.3">
      <c r="A84" t="s">
        <v>0</v>
      </c>
      <c r="B84">
        <v>53151</v>
      </c>
      <c r="C84">
        <v>2267192.96875</v>
      </c>
      <c r="D84">
        <v>4004.7816831138039</v>
      </c>
    </row>
    <row r="85" spans="1:4" x14ac:dyDescent="0.3">
      <c r="A85" t="s">
        <v>1</v>
      </c>
      <c r="B85">
        <v>53151</v>
      </c>
      <c r="C85">
        <v>565038.38216145837</v>
      </c>
      <c r="D85">
        <v>973.45677689137938</v>
      </c>
    </row>
    <row r="86" spans="1:4" x14ac:dyDescent="0.3">
      <c r="A86" t="s">
        <v>2</v>
      </c>
      <c r="B86">
        <v>65536</v>
      </c>
      <c r="C86">
        <v>14294.617818196615</v>
      </c>
      <c r="D86">
        <v>14.660120302723621</v>
      </c>
    </row>
    <row r="87" spans="1:4" x14ac:dyDescent="0.3">
      <c r="A87" t="s">
        <v>0</v>
      </c>
      <c r="B87">
        <v>65536</v>
      </c>
      <c r="C87">
        <v>2755987.3697916665</v>
      </c>
      <c r="D87">
        <v>2211.9151194141891</v>
      </c>
    </row>
    <row r="88" spans="1:4" x14ac:dyDescent="0.3">
      <c r="A88" t="s">
        <v>1</v>
      </c>
      <c r="B88">
        <v>65536</v>
      </c>
      <c r="C88">
        <v>739313.20963541663</v>
      </c>
      <c r="D88">
        <v>665.74423012069985</v>
      </c>
    </row>
    <row r="89" spans="1:4" x14ac:dyDescent="0.3">
      <c r="A89" t="s">
        <v>2</v>
      </c>
      <c r="B89">
        <v>96317</v>
      </c>
      <c r="C89">
        <v>19751.958821614582</v>
      </c>
      <c r="D89">
        <v>34.192877981311327</v>
      </c>
    </row>
    <row r="90" spans="1:4" x14ac:dyDescent="0.3">
      <c r="A90" t="s">
        <v>0</v>
      </c>
      <c r="B90">
        <v>96317</v>
      </c>
      <c r="C90">
        <v>4091273.8020833335</v>
      </c>
      <c r="D90">
        <v>4379.618264180448</v>
      </c>
    </row>
    <row r="91" spans="1:4" x14ac:dyDescent="0.3">
      <c r="A91" t="s">
        <v>1</v>
      </c>
      <c r="B91">
        <v>96317</v>
      </c>
      <c r="C91">
        <v>1115894.2057291667</v>
      </c>
      <c r="D91">
        <v>1165.5295405768384</v>
      </c>
    </row>
    <row r="92" spans="1:4" x14ac:dyDescent="0.3">
      <c r="A92" t="s">
        <v>2</v>
      </c>
      <c r="B92">
        <v>131072</v>
      </c>
      <c r="C92">
        <v>31977.608642578125</v>
      </c>
      <c r="D92">
        <v>21.368775707632611</v>
      </c>
    </row>
    <row r="93" spans="1:4" x14ac:dyDescent="0.3">
      <c r="A93" t="s">
        <v>0</v>
      </c>
      <c r="B93">
        <v>131072</v>
      </c>
      <c r="C93">
        <v>5827653.4598214282</v>
      </c>
      <c r="D93">
        <v>5293.6112308977517</v>
      </c>
    </row>
    <row r="94" spans="1:4" x14ac:dyDescent="0.3">
      <c r="A94" t="s">
        <v>1</v>
      </c>
      <c r="B94">
        <v>131072</v>
      </c>
      <c r="C94">
        <v>1651848.8411458333</v>
      </c>
      <c r="D94">
        <v>1541.8012092393765</v>
      </c>
    </row>
    <row r="95" spans="1:4" x14ac:dyDescent="0.3">
      <c r="A95" t="s">
        <v>2</v>
      </c>
      <c r="B95">
        <v>191217</v>
      </c>
      <c r="C95">
        <v>48031.68522761418</v>
      </c>
      <c r="D95">
        <v>54.964195609339875</v>
      </c>
    </row>
    <row r="96" spans="1:4" x14ac:dyDescent="0.3">
      <c r="A96" t="s">
        <v>0</v>
      </c>
      <c r="B96">
        <v>191217</v>
      </c>
      <c r="C96">
        <v>8972609.6875</v>
      </c>
      <c r="D96">
        <v>16201.632600055465</v>
      </c>
    </row>
    <row r="97" spans="1:4" x14ac:dyDescent="0.3">
      <c r="A97" t="s">
        <v>1</v>
      </c>
      <c r="B97">
        <v>191217</v>
      </c>
      <c r="C97">
        <v>2990329.7916666665</v>
      </c>
      <c r="D97">
        <v>3443.756081559894</v>
      </c>
    </row>
    <row r="98" spans="1:4" x14ac:dyDescent="0.3">
      <c r="A98" t="s">
        <v>2</v>
      </c>
      <c r="B98">
        <v>262144</v>
      </c>
      <c r="C98">
        <v>62086.285807291664</v>
      </c>
      <c r="D98">
        <v>65.803120139591641</v>
      </c>
    </row>
    <row r="99" spans="1:4" x14ac:dyDescent="0.3">
      <c r="A99" t="s">
        <v>0</v>
      </c>
      <c r="B99">
        <v>262144</v>
      </c>
      <c r="C99">
        <v>12517338.504464285</v>
      </c>
      <c r="D99">
        <v>27616.067339306956</v>
      </c>
    </row>
    <row r="100" spans="1:4" x14ac:dyDescent="0.3">
      <c r="A100" t="s">
        <v>1</v>
      </c>
      <c r="B100">
        <v>262144</v>
      </c>
      <c r="C100">
        <v>3689537.199519231</v>
      </c>
      <c r="D100">
        <v>8089.6895356081213</v>
      </c>
    </row>
    <row r="101" spans="1:4" x14ac:dyDescent="0.3">
      <c r="A101" t="s">
        <v>2</v>
      </c>
      <c r="B101">
        <v>398853</v>
      </c>
      <c r="C101">
        <v>60126.053059895836</v>
      </c>
      <c r="D101">
        <v>74.36042920610322</v>
      </c>
    </row>
    <row r="102" spans="1:4" x14ac:dyDescent="0.3">
      <c r="A102" t="s">
        <v>0</v>
      </c>
      <c r="B102">
        <v>398853</v>
      </c>
      <c r="C102">
        <v>19774671.875</v>
      </c>
      <c r="D102">
        <v>19519.045203182643</v>
      </c>
    </row>
    <row r="103" spans="1:4" x14ac:dyDescent="0.3">
      <c r="A103" t="s">
        <v>1</v>
      </c>
      <c r="B103">
        <v>398853</v>
      </c>
      <c r="C103">
        <v>11731967.083333334</v>
      </c>
      <c r="D103">
        <v>44149.987947792695</v>
      </c>
    </row>
    <row r="104" spans="1:4" x14ac:dyDescent="0.3">
      <c r="A104" t="s">
        <v>2</v>
      </c>
      <c r="B104">
        <v>524288</v>
      </c>
      <c r="C104">
        <v>72017.23876953125</v>
      </c>
      <c r="D104">
        <v>81.777553532700409</v>
      </c>
    </row>
    <row r="105" spans="1:4" x14ac:dyDescent="0.3">
      <c r="A105" t="s">
        <v>0</v>
      </c>
      <c r="B105">
        <v>524288</v>
      </c>
      <c r="C105">
        <v>26317152.916666668</v>
      </c>
      <c r="D105">
        <v>30042.668298225151</v>
      </c>
    </row>
    <row r="106" spans="1:4" x14ac:dyDescent="0.3">
      <c r="A106" t="s">
        <v>1</v>
      </c>
      <c r="B106">
        <v>524288</v>
      </c>
      <c r="C106">
        <v>20323915.856481481</v>
      </c>
      <c r="D106">
        <v>109203.52261610575</v>
      </c>
    </row>
    <row r="107" spans="1:4" x14ac:dyDescent="0.3">
      <c r="A107" t="s">
        <v>2</v>
      </c>
      <c r="B107">
        <v>719289</v>
      </c>
      <c r="C107">
        <v>106041.3423426011</v>
      </c>
      <c r="D107">
        <v>251.48699321729254</v>
      </c>
    </row>
    <row r="108" spans="1:4" x14ac:dyDescent="0.3">
      <c r="A108" t="s">
        <v>0</v>
      </c>
      <c r="B108">
        <v>719289</v>
      </c>
      <c r="C108">
        <v>37156033.809523813</v>
      </c>
      <c r="D108">
        <v>30933.275509626437</v>
      </c>
    </row>
    <row r="109" spans="1:4" x14ac:dyDescent="0.3">
      <c r="A109" t="s">
        <v>1</v>
      </c>
      <c r="B109">
        <v>719289</v>
      </c>
      <c r="C109">
        <v>29014208.866279069</v>
      </c>
      <c r="D109">
        <v>160876.79436758897</v>
      </c>
    </row>
    <row r="110" spans="1:4" x14ac:dyDescent="0.3">
      <c r="A110" t="s">
        <v>2</v>
      </c>
      <c r="B110">
        <v>1048576</v>
      </c>
      <c r="C110">
        <v>153388.88784555288</v>
      </c>
      <c r="D110">
        <v>146.4088680106999</v>
      </c>
    </row>
    <row r="111" spans="1:4" x14ac:dyDescent="0.3">
      <c r="A111" t="s">
        <v>0</v>
      </c>
      <c r="B111">
        <v>1048576</v>
      </c>
      <c r="C111">
        <v>55960775.555555552</v>
      </c>
      <c r="D111">
        <v>68286.912095590204</v>
      </c>
    </row>
    <row r="112" spans="1:4" x14ac:dyDescent="0.3">
      <c r="A112" t="s">
        <v>1</v>
      </c>
      <c r="B112">
        <v>1048576</v>
      </c>
      <c r="C112">
        <v>49148748.775510207</v>
      </c>
      <c r="D112">
        <v>278733.66955972015</v>
      </c>
    </row>
  </sheetData>
  <phoneticPr fontId="1" type="noConversion"/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B5FEA-27D6-486D-9B0B-4D465AE8C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Stian Vrba</dc:creator>
  <cp:lastModifiedBy>Stian Vrba</cp:lastModifiedBy>
  <dcterms:created xsi:type="dcterms:W3CDTF">2025-04-17T07:02:02Z</dcterms:created>
  <dcterms:modified xsi:type="dcterms:W3CDTF">2025-11-30T09:19:43Z</dcterms:modified>
</cp:coreProperties>
</file>